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 Assumptions" sheetId="2" state="visible" r:id="rId2"/>
    <sheet xmlns:r="http://schemas.openxmlformats.org/officeDocument/2006/relationships" name="Pre-Op Investment" sheetId="3" state="visible" r:id="rId3"/>
    <sheet xmlns:r="http://schemas.openxmlformats.org/officeDocument/2006/relationships" name="Pricing Reference" sheetId="4" state="visible" r:id="rId4"/>
    <sheet xmlns:r="http://schemas.openxmlformats.org/officeDocument/2006/relationships" name="Staff Plan" sheetId="5" state="visible" r:id="rId5"/>
    <sheet xmlns:r="http://schemas.openxmlformats.org/officeDocument/2006/relationships" name="Monthly P&amp;L Year 1" sheetId="6" state="visible" r:id="rId6"/>
    <sheet xmlns:r="http://schemas.openxmlformats.org/officeDocument/2006/relationships" name="Annual P&amp;L Summary Y1-Y5" sheetId="7" state="visible" r:id="rId7"/>
    <sheet xmlns:r="http://schemas.openxmlformats.org/officeDocument/2006/relationships" name="Cash Flow Year 1" sheetId="8" state="visible" r:id="rId8"/>
    <sheet xmlns:r="http://schemas.openxmlformats.org/officeDocument/2006/relationships" name="5Y Cash Flow" sheetId="9" state="visible" r:id="rId9"/>
    <sheet xmlns:r="http://schemas.openxmlformats.org/officeDocument/2006/relationships" name="Market Detail" sheetId="10" state="visible" r:id="rId10"/>
    <sheet xmlns:r="http://schemas.openxmlformats.org/officeDocument/2006/relationships" name="Funding &amp; Returns" sheetId="11" state="visible" r:id="rId11"/>
    <sheet xmlns:r="http://schemas.openxmlformats.org/officeDocument/2006/relationships" name="Shareholding" sheetId="12" state="visible" r:id="rId12"/>
    <sheet xmlns:r="http://schemas.openxmlformats.org/officeDocument/2006/relationships" name="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27">
    <font>
      <name val="Calibri"/>
      <family val="2"/>
      <color theme="1"/>
      <sz val="11"/>
      <scheme val="minor"/>
    </font>
    <font>
      <name val="Calibri"/>
      <b val="1"/>
      <color rgb="000F2942"/>
      <sz val="14"/>
    </font>
    <font>
      <name val="Calibri"/>
      <color rgb="005C5B57"/>
      <sz val="9.5"/>
    </font>
    <font>
      <name val="Calibri"/>
      <b val="1"/>
      <color rgb="000F2942"/>
      <sz val="10"/>
    </font>
    <font>
      <name val="Calibri"/>
      <color rgb="001A1A19"/>
      <sz val="9.5"/>
    </font>
    <font>
      <name val="Calibri"/>
      <b val="1"/>
      <color rgb="00FFFFFF"/>
      <sz val="9.5"/>
    </font>
    <font>
      <name val="Calibri"/>
      <b val="1"/>
      <color rgb="000F6E6A"/>
      <sz val="10"/>
    </font>
    <font>
      <name val="Calibri"/>
      <color rgb="001F4E79"/>
      <sz val="9.5"/>
    </font>
    <font>
      <name val="Calibri"/>
      <color rgb="005C5B57"/>
      <sz val="9"/>
    </font>
    <font>
      <name val="Calibri"/>
      <b val="1"/>
      <color rgb="00FFFFFF"/>
      <sz val="9"/>
    </font>
    <font>
      <name val="Calibri"/>
      <b val="1"/>
      <color rgb="000F6E6A"/>
      <sz val="9"/>
    </font>
    <font>
      <name val="Calibri"/>
      <color rgb="001A1A19"/>
      <sz val="9"/>
    </font>
    <font>
      <name val="Calibri"/>
      <b val="1"/>
      <color rgb="000F2942"/>
      <sz val="9.5"/>
    </font>
    <font>
      <name val="Calibri"/>
      <b val="1"/>
      <color rgb="000F2942"/>
      <sz val="9"/>
    </font>
    <font>
      <name val="Calibri"/>
      <color rgb="005C5B57"/>
      <sz val="8.5"/>
    </font>
    <font>
      <name val="Calibri"/>
      <b val="1"/>
      <color rgb="00FFFFFF"/>
      <sz val="8"/>
    </font>
    <font>
      <name val="Calibri"/>
      <color rgb="001A1A19"/>
      <sz val="8.5"/>
    </font>
    <font>
      <name val="Calibri"/>
      <b val="1"/>
      <color rgb="001A1A19"/>
      <sz val="8.5"/>
    </font>
    <font>
      <name val="Calibri"/>
      <b val="1"/>
      <color rgb="000F2942"/>
      <sz val="8.5"/>
    </font>
    <font>
      <name val="Calibri"/>
      <b val="1"/>
      <color rgb="00FFFFFF"/>
      <sz val="8.5"/>
    </font>
    <font>
      <name val="Calibri"/>
      <b val="1"/>
      <color rgb="000F6E6A"/>
      <sz val="8.5"/>
    </font>
    <font>
      <name val="Calibri"/>
      <b val="1"/>
      <color rgb="000F6E6A"/>
      <sz val="9.5"/>
    </font>
    <font>
      <name val="Calibri"/>
      <b val="1"/>
      <color rgb="000F6E6A"/>
      <sz val="11"/>
    </font>
    <font>
      <name val="Calibri"/>
      <b val="1"/>
      <color rgb="00C8892A"/>
      <sz val="10"/>
    </font>
    <font>
      <name val="Calibri"/>
      <b val="1"/>
      <color rgb="00C8892A"/>
      <sz val="11"/>
    </font>
    <font>
      <name val="Calibri"/>
      <b val="1"/>
      <color rgb="001A1A19"/>
      <sz val="10"/>
    </font>
    <font>
      <name val="Calibri"/>
      <b val="1"/>
      <color rgb="005C5B57"/>
      <sz val="8.5"/>
    </font>
  </fonts>
  <fills count="6">
    <fill>
      <patternFill/>
    </fill>
    <fill>
      <patternFill patternType="gray125"/>
    </fill>
    <fill>
      <patternFill patternType="solid">
        <fgColor rgb="000F2942"/>
      </patternFill>
    </fill>
    <fill>
      <patternFill patternType="solid">
        <fgColor rgb="00F3F5F7"/>
      </patternFill>
    </fill>
    <fill>
      <patternFill patternType="solid">
        <fgColor rgb="00E9EDF0"/>
      </patternFill>
    </fill>
    <fill>
      <patternFill patternType="solid">
        <fgColor rgb="00FFF4DF"/>
      </patternFill>
    </fill>
  </fills>
  <borders count="2">
    <border>
      <left/>
      <right/>
      <top/>
      <bottom/>
      <diagonal/>
    </border>
    <border>
      <left style="thin">
        <color rgb="00D8DCE0"/>
      </left>
      <right style="thin">
        <color rgb="00D8DCE0"/>
      </right>
      <top style="thin">
        <color rgb="00D8DCE0"/>
      </top>
      <bottom style="thin">
        <color rgb="00D8DCE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3" fillId="4" borderId="1" pivotButton="0" quotePrefix="0" xfId="0"/>
    <xf numFmtId="0" fontId="0" fillId="4" borderId="0" pivotButton="0" quotePrefix="0" xfId="0"/>
    <xf numFmtId="3" fontId="3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1" pivotButton="0" quotePrefix="0" xfId="0"/>
    <xf numFmtId="3" fontId="11" fillId="0" borderId="1" applyAlignment="1" pivotButton="0" quotePrefix="0" xfId="0">
      <alignment horizontal="right" vertical="center"/>
    </xf>
    <xf numFmtId="0" fontId="12" fillId="4" borderId="1" pivotButton="0" quotePrefix="0" xfId="0"/>
    <xf numFmtId="0" fontId="13" fillId="4" borderId="1" pivotButton="0" quotePrefix="0" xfId="0"/>
    <xf numFmtId="3" fontId="12" fillId="4" borderId="1" applyAlignment="1" pivotButton="0" quotePrefix="0" xfId="0">
      <alignment horizontal="right" vertical="center"/>
    </xf>
    <xf numFmtId="0" fontId="14" fillId="0" borderId="0" pivotButton="0" quotePrefix="0" xfId="0"/>
    <xf numFmtId="0" fontId="15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0" borderId="1" pivotButton="0" quotePrefix="0" xfId="0"/>
    <xf numFmtId="3" fontId="16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right" vertical="center"/>
    </xf>
    <xf numFmtId="3" fontId="18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5" borderId="1" pivotButton="0" quotePrefix="0" xfId="0"/>
    <xf numFmtId="0" fontId="0" fillId="5" borderId="0" pivotButton="0" quotePrefix="0" xfId="0"/>
    <xf numFmtId="3" fontId="18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17" fillId="0" borderId="1" pivotButton="0" quotePrefix="0" xfId="0"/>
    <xf numFmtId="0" fontId="16" fillId="0" borderId="0" applyAlignment="1" pivotButton="0" quotePrefix="0" xfId="0">
      <alignment horizontal="left" vertical="center" wrapText="1"/>
    </xf>
    <xf numFmtId="0" fontId="18" fillId="4" borderId="1" pivotButton="0" quotePrefix="0" xfId="0"/>
    <xf numFmtId="0" fontId="19" fillId="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10" fillId="3" borderId="0" pivotButton="0" quotePrefix="0" xfId="0"/>
    <xf numFmtId="0" fontId="11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right" vertical="center"/>
    </xf>
    <xf numFmtId="0" fontId="20" fillId="0" borderId="0" pivotButton="0" quotePrefix="0" xfId="0"/>
    <xf numFmtId="0" fontId="21" fillId="3" borderId="0" pivotButton="0" quotePrefix="0" xfId="0"/>
    <xf numFmtId="164" fontId="4" fillId="0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2" fillId="5" borderId="1" pivotButton="0" quotePrefix="0" xfId="0"/>
    <xf numFmtId="164" fontId="12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2" fillId="0" borderId="1" pivotButton="0" quotePrefix="0" xfId="0"/>
    <xf numFmtId="164" fontId="12" fillId="0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wrapText="1"/>
    </xf>
    <xf numFmtId="0" fontId="22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23" fillId="0" borderId="1" pivotButton="0" quotePrefix="0" xfId="0"/>
    <xf numFmtId="165" fontId="24" fillId="0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2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0" pivotButton="0" quotePrefix="0" xfId="0"/>
    <xf numFmtId="3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gross profit &amp; net profit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solidFill xmlns:a="http://schemas.openxmlformats.org/drawingml/2006/main">
              <a:srgbClr val="0F2942"/>
            </a:solidFill>
            <a:ln xmlns:a="http://schemas.openxmlformats.org/drawingml/2006/main">
              <a:prstDash val="solid"/>
            </a:ln>
          </spPr>
          <cat>
            <numRef>
              <f>'Dashboard'!$B$21:$F$21</f>
            </numRef>
          </cat>
          <val>
            <numRef>
              <f>'Dashboard'!$B$22:$F$22</f>
            </numRef>
          </val>
        </ser>
        <ser>
          <idx val="1"/>
          <order val="1"/>
          <tx>
            <v>Gross profit</v>
          </tx>
          <spPr>
            <a:solidFill xmlns:a="http://schemas.openxmlformats.org/drawingml/2006/main">
              <a:srgbClr val="0F6E6A"/>
            </a:solidFill>
            <a:ln xmlns:a="http://schemas.openxmlformats.org/drawingml/2006/main">
              <a:prstDash val="solid"/>
            </a:ln>
          </spPr>
          <cat>
            <numRef>
              <f>'Dashboard'!$B$21:$F$21</f>
            </numRef>
          </cat>
          <val>
            <numRef>
              <f>'Dashboard'!$B$23:$F$23</f>
            </numRef>
          </val>
        </ser>
        <ser>
          <idx val="2"/>
          <order val="2"/>
          <tx>
            <v>Net profit</v>
          </tx>
          <spPr>
            <a:solidFill xmlns:a="http://schemas.openxmlformats.org/drawingml/2006/main">
              <a:srgbClr val="C8892A"/>
            </a:solidFill>
            <a:ln xmlns:a="http://schemas.openxmlformats.org/drawingml/2006/main">
              <a:prstDash val="solid"/>
            </a:ln>
          </spPr>
          <cat>
            <numRef>
              <f>'Dashboard'!$B$21:$F$21</f>
            </numRef>
          </cat>
          <val>
            <numRef>
              <f>'Dashboard'!$B$24:$F$24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NORCO — Vestwoods Investor Model V7</t>
        </is>
      </c>
    </row>
    <row r="2">
      <c r="A2" s="2" t="inlineStr">
        <is>
          <t>Exclusive Vestwoods (Haier Energy) battery storage | Egypt · Sudan · Algeria · Libya | Aug 2026 – Jul 2031</t>
        </is>
      </c>
    </row>
    <row r="4" ht="34" customHeight="1">
      <c r="A4" s="3" t="inlineStr">
        <is>
          <t>Purpose</t>
        </is>
      </c>
      <c r="B4" s="4" t="inlineStr">
        <is>
          <t>Investor-grade 5-year model for NORCO's exclusive Vestwoods lithium battery storage business. The investor invests USD 1,000,000 into the EGYPT operating company for 50% of its shares.</t>
        </is>
      </c>
    </row>
    <row r="5" ht="34" customHeight="1">
      <c r="A5" s="3" t="inlineStr">
        <is>
          <t>Scope</t>
        </is>
      </c>
      <c r="B5" s="4" t="inlineStr">
        <is>
          <t>Vestwoods (Haier Energy) products only — residential, C&amp;I and telecom battery energy storage, hybrid inverters and Rescube portable power. Al Reem Plastics is not part of this plan.</t>
        </is>
      </c>
    </row>
    <row r="6" ht="34" customHeight="1">
      <c r="A6" s="3" t="inlineStr">
        <is>
          <t>Markets</t>
        </is>
      </c>
      <c r="B6" s="4" t="inlineStr">
        <is>
          <t>Egypt (retail + wholesale), Sudan (committed buyer), Algeria (agency + 100% LC from Month 8), Libya (dual-hub distributors from Year 2).</t>
        </is>
      </c>
    </row>
    <row r="7" ht="34" customHeight="1">
      <c r="A7" s="3" t="inlineStr">
        <is>
          <t>Container economics</t>
        </is>
      </c>
      <c r="B7" s="4" t="inlineStr">
        <is>
          <t>40ft FCL of 340 units, landed cost USD 342,316 (factory + freight + 5% duty + 2% GOEIC + handling). Egypt revenue USD 433,281/container (50/50 retail-wholesale); export USD 393,861 (wholesale).</t>
        </is>
      </c>
    </row>
    <row r="8" ht="34" customHeight="1">
      <c r="A8" s="3" t="inlineStr">
        <is>
          <t>Margins</t>
        </is>
      </c>
      <c r="B8" s="4" t="inlineStr">
        <is>
          <t>Egypt product cost 79% of Egypt revenue; export product cost 50% of export revenue (per the founder's negotiated export supply pricing). See the diligence note on the Pricing Reference sheet.</t>
        </is>
      </c>
    </row>
    <row r="9" ht="34" customHeight="1">
      <c r="A9" s="3" t="inlineStr">
        <is>
          <t>Container plan Y1→Y5</t>
        </is>
      </c>
      <c r="B9" s="4" t="inlineStr">
        <is>
          <t>Egypt 6/7/9/11/15 · Sudan 4/5/6/8/10 · Algeria 3/4/6/7/8 · Libya 0/4/5/6/8. Total 13 → 41 containers.</t>
        </is>
      </c>
    </row>
    <row r="10" ht="34" customHeight="1">
      <c r="A10" s="3" t="inlineStr">
        <is>
          <t>Investment ask</t>
        </is>
      </c>
      <c r="B10" s="4" t="inlineStr">
        <is>
          <t>USD 1,000,000 core for 50% of NORCO Egypt — Tranche 1 USD 500K at close (Aug-26), Tranche 2 USD 500K at Month 4 (milestone-gated) — plus an optional USD 500K accelerator (ceiling USD 1.5M).</t>
        </is>
      </c>
    </row>
    <row r="11" ht="34" customHeight="1">
      <c r="A11" s="3" t="inlineStr">
        <is>
          <t>Shareholding</t>
        </is>
      </c>
      <c r="B11" s="4" t="inlineStr">
        <is>
          <t>NORCO Egypt: Investor 50% | NORCO UAE 20% | Founder 20% | Partner A 5% | Partner B 5%. Founder-side combined interest 40% (20% direct + 20% via NORCO UAE).</t>
        </is>
      </c>
    </row>
    <row r="12" ht="34" customHeight="1">
      <c r="A12" s="3" t="inlineStr">
        <is>
          <t>Supplier terms</t>
        </is>
      </c>
      <c r="B12" s="4" t="inlineStr">
        <is>
          <t>Year 1: Sinosure-backed — containers 1-4 to the shipping schedule, 5-13 at 10% down + 90% at 3-month credit. Year 2+: 10% down + 90% at 3-month credit on all POs.</t>
        </is>
      </c>
    </row>
    <row r="13" ht="34" customHeight="1">
      <c r="A13" s="3" t="inlineStr">
        <is>
          <t>Currency &amp; FX</t>
        </is>
      </c>
      <c r="B13" s="4" t="inlineStr">
        <is>
          <t>USD throughout. Planning rate USD 1 = EGP 53. Corporate tax 22.5% on net profit; Year-1 tax computed with loss carry-forward.</t>
        </is>
      </c>
    </row>
    <row r="14" ht="34" customHeight="1">
      <c r="A14" s="3" t="inlineStr">
        <is>
          <t>Sheets</t>
        </is>
      </c>
      <c r="B14" s="4" t="inlineStr">
        <is>
          <t>Key Assumptions | Pre-Op Investment | Pricing Reference | Staff Plan | Monthly P&amp;L Year 1 | Annual P&amp;L Summary Y1-Y5 | Cash Flow Year 1 | 5Y Cash Flow | Market Detail | Funding &amp; Returns | Shareholding | Dashboard</t>
        </is>
      </c>
    </row>
    <row r="15" ht="34" customHeight="1">
      <c r="A15" s="3" t="inlineStr">
        <is>
          <t>Version</t>
        </is>
      </c>
      <c r="B15" s="4" t="inlineStr">
        <is>
          <t>V7 (Vestwoods) — 14 July 2026. Strictly Private &amp; Confidential. Prepared by Fadi Jannan, Managing Director.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62" customWidth="1" min="3" max="3"/>
  </cols>
  <sheetData>
    <row r="1">
      <c r="A1" s="1" t="inlineStr">
        <is>
          <t>Key Assumptions</t>
        </is>
      </c>
    </row>
    <row r="2">
      <c r="A2" s="2" t="inlineStr">
        <is>
          <t>Vestwoods-only plan basis | Blue = key input</t>
        </is>
      </c>
    </row>
    <row r="4">
      <c r="A4" s="5" t="inlineStr">
        <is>
          <t>Parameter</t>
        </is>
      </c>
      <c r="B4" s="6" t="inlineStr">
        <is>
          <t>Value / Assumption</t>
        </is>
      </c>
      <c r="C4" s="6" t="inlineStr">
        <is>
          <t>Notes</t>
        </is>
      </c>
    </row>
    <row r="5">
      <c r="A5" s="7" t="inlineStr">
        <is>
          <t>► GENERAL</t>
        </is>
      </c>
      <c r="B5" s="8" t="n"/>
      <c r="C5" s="8" t="n"/>
    </row>
    <row r="6" ht="24" customHeight="1">
      <c r="A6" s="9" t="inlineStr">
        <is>
          <t>Business start</t>
        </is>
      </c>
      <c r="B6" s="10" t="inlineStr">
        <is>
          <t>August 2026</t>
        </is>
      </c>
      <c r="C6" s="11" t="inlineStr">
        <is>
          <t>Month 1 = Aug-26; fiscal years run Aug–Jul</t>
        </is>
      </c>
    </row>
    <row r="7" ht="24" customHeight="1">
      <c r="A7" s="9" t="inlineStr">
        <is>
          <t>Scope</t>
        </is>
      </c>
      <c r="B7" s="10" t="inlineStr">
        <is>
          <t>Vestwoods (Haier Energy) products only</t>
        </is>
      </c>
      <c r="C7" s="11" t="inlineStr">
        <is>
          <t>Residential, C&amp;I, telecom BESS + inverters</t>
        </is>
      </c>
    </row>
    <row r="8" ht="24" customHeight="1">
      <c r="A8" s="9" t="inlineStr">
        <is>
          <t>Investment vehicle</t>
        </is>
      </c>
      <c r="B8" s="10" t="inlineStr">
        <is>
          <t>NORCO Egypt (operating company)</t>
        </is>
      </c>
      <c r="C8" s="11" t="inlineStr">
        <is>
          <t>Investor subscribes for 50%; NORCO UAE holds 20%</t>
        </is>
      </c>
    </row>
    <row r="9" ht="24" customHeight="1">
      <c r="A9" s="9" t="inlineStr">
        <is>
          <t>FX planning rate</t>
        </is>
      </c>
      <c r="B9" s="10" t="inlineStr">
        <is>
          <t>USD 1 = EGP 53</t>
        </is>
      </c>
      <c r="C9" s="11" t="inlineStr">
        <is>
          <t>Conservative vs spot ~49–51</t>
        </is>
      </c>
    </row>
    <row r="10" ht="24" customHeight="1">
      <c r="A10" s="9" t="inlineStr">
        <is>
          <t>Corporate tax</t>
        </is>
      </c>
      <c r="B10" s="10" t="inlineStr">
        <is>
          <t>22.5% on net profit</t>
        </is>
      </c>
      <c r="C10" s="11" t="inlineStr">
        <is>
          <t>Loss carry-forward applied in Year 1</t>
        </is>
      </c>
    </row>
    <row r="11">
      <c r="A11" s="7" t="inlineStr">
        <is>
          <t>► CONTAINER ECONOMICS</t>
        </is>
      </c>
      <c r="B11" s="8" t="n"/>
      <c r="C11" s="8" t="n"/>
    </row>
    <row r="12" ht="24" customHeight="1">
      <c r="A12" s="9" t="inlineStr">
        <is>
          <t>Container</t>
        </is>
      </c>
      <c r="B12" s="10" t="inlineStr">
        <is>
          <t>340 units / 40ft FCL, landed COGS USD 342,316</t>
        </is>
      </c>
      <c r="C12" s="11" t="inlineStr">
        <is>
          <t>Factory + USD 6,865 freight + 5% duty + 2% GOEIC + handling</t>
        </is>
      </c>
    </row>
    <row r="13" ht="24" customHeight="1">
      <c r="A13" s="9" t="inlineStr">
        <is>
          <t>Egypt revenue / container</t>
        </is>
      </c>
      <c r="B13" s="10" t="inlineStr">
        <is>
          <t>USD 433,281 (50% retail / 50% wholesale)</t>
        </is>
      </c>
      <c r="C13" s="11" t="inlineStr">
        <is>
          <t>21.0% blended margin; product cost 79% of revenue</t>
        </is>
      </c>
    </row>
    <row r="14" ht="24" customHeight="1">
      <c r="A14" s="9" t="inlineStr">
        <is>
          <t>Export revenue / container</t>
        </is>
      </c>
      <c r="B14" s="10" t="inlineStr">
        <is>
          <t>USD 393,861 (wholesale)</t>
        </is>
      </c>
      <c r="C14" s="11" t="inlineStr">
        <is>
          <t>Sudan/Algeria/Libya; product cost 50% of revenue (founder's supply pricing)</t>
        </is>
      </c>
    </row>
    <row r="15" ht="24" customHeight="1">
      <c r="A15" s="9" t="inlineStr">
        <is>
          <t>Lead time</t>
        </is>
      </c>
      <c r="B15" s="10" t="inlineStr">
        <is>
          <t>45–55 days PO → Egypt warehouse</t>
        </is>
      </c>
      <c r="C15" s="11" t="inlineStr">
        <is>
          <t>Factory 15–20 + sea 18 + clearance 7–10 days</t>
        </is>
      </c>
    </row>
    <row r="16" ht="24" customHeight="1">
      <c r="A16" s="9" t="inlineStr">
        <is>
          <t>Supplier terms Y1</t>
        </is>
      </c>
      <c r="B16" s="10" t="inlineStr">
        <is>
          <t>Sinosure: containers 1-4 to schedule; 5-13 at 10% down + 90% at 3-month credit</t>
        </is>
      </c>
      <c r="C16" s="11" t="inlineStr">
        <is>
          <t>Keeps the Year-1 working-capital need to ~USD 0.9M</t>
        </is>
      </c>
    </row>
    <row r="17" ht="24" customHeight="1">
      <c r="A17" s="9" t="inlineStr">
        <is>
          <t>Supplier terms Y2+</t>
        </is>
      </c>
      <c r="B17" s="10" t="inlineStr">
        <is>
          <t>10% down + 90% at 3-month credit on all POs</t>
        </is>
      </c>
      <c r="C17" s="11" t="inlineStr">
        <is>
          <t>~22.5% of purchases outstanding at year end</t>
        </is>
      </c>
    </row>
    <row r="18">
      <c r="A18" s="7" t="inlineStr">
        <is>
          <t>► REVENUE</t>
        </is>
      </c>
      <c r="B18" s="8" t="n"/>
      <c r="C18" s="8" t="n"/>
    </row>
    <row r="19" ht="24" customHeight="1">
      <c r="A19" s="9" t="inlineStr">
        <is>
          <t>Egypt containers Y1→Y5</t>
        </is>
      </c>
      <c r="B19" s="10" t="inlineStr">
        <is>
          <t>6 / 7 / 9 / 11 / 15</t>
        </is>
      </c>
      <c r="C19" s="11" t="inlineStr">
        <is>
          <t>I LOCK wholesale + direct/dealer retail</t>
        </is>
      </c>
    </row>
    <row r="20" ht="24" customHeight="1">
      <c r="A20" s="9" t="inlineStr">
        <is>
          <t>Sudan containers Y1→Y5</t>
        </is>
      </c>
      <c r="B20" s="10" t="inlineStr">
        <is>
          <t>4 / 5 / 6 / 8 / 10</t>
        </is>
      </c>
      <c r="C20" s="11" t="inlineStr">
        <is>
          <t>Committed buyer; 50% advance + 50% delivery</t>
        </is>
      </c>
    </row>
    <row r="21" ht="24" customHeight="1">
      <c r="A21" s="9" t="inlineStr">
        <is>
          <t>Algeria containers Y1→Y5</t>
        </is>
      </c>
      <c r="B21" s="10" t="inlineStr">
        <is>
          <t>3 / 4 / 6 / 7 / 8</t>
        </is>
      </c>
      <c r="C21" s="11" t="inlineStr">
        <is>
          <t>Agency + 100% LC before shipment from Month 8</t>
        </is>
      </c>
    </row>
    <row r="22" ht="24" customHeight="1">
      <c r="A22" s="9" t="inlineStr">
        <is>
          <t>Libya containers Y2→Y5</t>
        </is>
      </c>
      <c r="B22" s="10" t="inlineStr">
        <is>
          <t>0 / 4 / 5 / 6 / 8</t>
        </is>
      </c>
      <c r="C22" s="11" t="inlineStr">
        <is>
          <t>Dual-hub distributors from Year 2</t>
        </is>
      </c>
    </row>
    <row r="23" ht="24" customHeight="1">
      <c r="A23" s="9" t="inlineStr">
        <is>
          <t>Sales commissions</t>
        </is>
      </c>
      <c r="B23" s="10" t="inlineStr">
        <is>
          <t>4% of Egypt sales</t>
        </is>
      </c>
      <c r="C23" s="11" t="inlineStr">
        <is>
          <t>Variable, paid monthly</t>
        </is>
      </c>
    </row>
    <row r="24" ht="24" customHeight="1">
      <c r="A24" s="9" t="inlineStr">
        <is>
          <t>Egypt exhibitions</t>
        </is>
      </c>
      <c r="B24" s="10" t="inlineStr">
        <is>
          <t>USD 15,000 Y1 (2 events) rising to USD 35K by Y5</t>
        </is>
      </c>
      <c r="C24" s="11" t="inlineStr">
        <is>
          <t>Electricx / Solar &amp; Storage Cairo booths (in marketing)</t>
        </is>
      </c>
    </row>
    <row r="25">
      <c r="A25" s="7" t="inlineStr">
        <is>
          <t>► CUSTOMER TERMS</t>
        </is>
      </c>
      <c r="B25" s="8" t="n"/>
      <c r="C25" s="8" t="n"/>
    </row>
    <row r="26" ht="24" customHeight="1">
      <c r="A26" s="9" t="inlineStr">
        <is>
          <t>Egypt customers</t>
        </is>
      </c>
      <c r="B26" s="10" t="inlineStr">
        <is>
          <t>30–60 days (avg 45); 1-month collection lag</t>
        </is>
      </c>
      <c r="C26" s="11" t="inlineStr">
        <is>
          <t>Invoice on delivery</t>
        </is>
      </c>
    </row>
    <row r="27" ht="24" customHeight="1">
      <c r="A27" s="9" t="inlineStr">
        <is>
          <t>Sudan</t>
        </is>
      </c>
      <c r="B27" s="10" t="inlineStr">
        <is>
          <t>50% advance at order + 50% on delivery</t>
        </is>
      </c>
      <c r="C27" s="11" t="inlineStr">
        <is>
          <t>Cash before/at shipment</t>
        </is>
      </c>
    </row>
    <row r="28" ht="24" customHeight="1">
      <c r="A28" s="9" t="inlineStr">
        <is>
          <t>Algeria</t>
        </is>
      </c>
      <c r="B28" s="10" t="inlineStr">
        <is>
          <t>100% LC before shipment (FOB Jebel Ali)</t>
        </is>
      </c>
      <c r="C28" s="11" t="inlineStr">
        <is>
          <t>Licensed importer; zero in-country exposure</t>
        </is>
      </c>
    </row>
    <row r="29" ht="24" customHeight="1">
      <c r="A29" s="9" t="inlineStr">
        <is>
          <t>Libya</t>
        </is>
      </c>
      <c r="B29" s="10" t="inlineStr">
        <is>
          <t>Advance / confirmed LC</t>
        </is>
      </c>
      <c r="C29" s="11" t="inlineStr">
        <is>
          <t>From Year 2, dual-hub distributors</t>
        </is>
      </c>
    </row>
    <row r="30">
      <c r="A30" s="7" t="inlineStr">
        <is>
          <t>► FACILITIES &amp; STAFF</t>
        </is>
      </c>
      <c r="B30" s="8" t="n"/>
      <c r="C30" s="8" t="n"/>
    </row>
    <row r="31" ht="24" customHeight="1">
      <c r="A31" s="9" t="inlineStr">
        <is>
          <t>Showroom #1</t>
        </is>
      </c>
      <c r="B31" s="10" t="inlineStr">
        <is>
          <t>6th October City — OPERATIONAL</t>
        </is>
      </c>
      <c r="C31" s="11" t="inlineStr">
        <is>
          <t>EGP 10,000/mo = USD 200; renovated &amp; furnished</t>
        </is>
      </c>
    </row>
    <row r="32" ht="24" customHeight="1">
      <c r="A32" s="9" t="inlineStr">
        <is>
          <t>Showroom #2</t>
        </is>
      </c>
      <c r="B32" s="10" t="inlineStr">
        <is>
          <t>New Cairo ~100 sqm — opens Month 1</t>
        </is>
      </c>
      <c r="C32" s="11" t="inlineStr">
        <is>
          <t>USD 2,500/month</t>
        </is>
      </c>
    </row>
    <row r="33" ht="24" customHeight="1">
      <c r="A33" s="9" t="inlineStr">
        <is>
          <t>Office</t>
        </is>
      </c>
      <c r="B33" s="10" t="inlineStr">
        <is>
          <t>New Cairo, ~100 sqm furnished</t>
        </is>
      </c>
      <c r="C33" s="11" t="inlineStr">
        <is>
          <t>USD 3,000/month</t>
        </is>
      </c>
    </row>
    <row r="34" ht="24" customHeight="1">
      <c r="A34" s="9" t="inlineStr">
        <is>
          <t>Warehouse</t>
        </is>
      </c>
      <c r="B34" s="10" t="inlineStr">
        <is>
          <t>300–700 sqm — 6th Oct / Sheikh Zayed / New Cairo</t>
        </is>
      </c>
      <c r="C34" s="11" t="inlineStr">
        <is>
          <t>USD 3,000/month; located on best available cost</t>
        </is>
      </c>
    </row>
    <row r="35" ht="24" customHeight="1">
      <c r="A35" s="9" t="inlineStr">
        <is>
          <t>Sales compensation</t>
        </is>
      </c>
      <c r="B35" s="10" t="inlineStr">
        <is>
          <t>Salary + 4% commission on Egypt sales</t>
        </is>
      </c>
      <c r="C35" s="11" t="inlineStr">
        <is>
          <t>Performance incentive on top of base</t>
        </is>
      </c>
    </row>
    <row r="36" ht="24" customHeight="1">
      <c r="A36" s="9" t="inlineStr">
        <is>
          <t>Headcount</t>
        </is>
      </c>
      <c r="B36" s="10" t="inlineStr">
        <is>
          <t>21 (M12) → 55 (Year 5)</t>
        </is>
      </c>
      <c r="C36" s="11" t="inlineStr">
        <is>
          <t>Full roster in Staff Plan sheet</t>
        </is>
      </c>
    </row>
    <row r="37">
      <c r="A37" s="7" t="inlineStr">
        <is>
          <t>► FUNDING</t>
        </is>
      </c>
      <c r="B37" s="8" t="n"/>
      <c r="C37" s="8" t="n"/>
    </row>
    <row r="38" ht="24" customHeight="1">
      <c r="A38" s="9" t="inlineStr">
        <is>
          <t>Investment</t>
        </is>
      </c>
      <c r="B38" s="10" t="inlineStr">
        <is>
          <t>USD 1,000,000 for 50% of NORCO Egypt</t>
        </is>
      </c>
      <c r="C38" s="11" t="inlineStr">
        <is>
          <t>T1 500K + T2 500K; optional 500K accelerator (ceiling 1.5M)</t>
        </is>
      </c>
    </row>
    <row r="39" ht="24" customHeight="1">
      <c r="A39" s="9" t="inlineStr">
        <is>
          <t>Peak funding need</t>
        </is>
      </c>
      <c r="B39" s="10" t="inlineStr">
        <is>
          <t>USD 915,603 (self-funded deficit, Jan-27)</t>
        </is>
      </c>
      <c r="C39" s="11" t="inlineStr">
        <is>
          <t>Covered by the raise; minimum cash +USD 84,397</t>
        </is>
      </c>
    </row>
    <row r="40" ht="24" customHeight="1">
      <c r="A40" s="9" t="inlineStr">
        <is>
          <t>Dividend policy</t>
        </is>
      </c>
      <c r="B40" s="10" t="inlineStr">
        <is>
          <t>100% of net profit distributed, in arrears</t>
        </is>
      </c>
      <c r="C40" s="11" t="inlineStr">
        <is>
          <t>Investor receives 50% of each distribution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2" customWidth="1" min="4" max="4"/>
    <col width="24" customWidth="1" min="5" max="5"/>
  </cols>
  <sheetData>
    <row r="1">
      <c r="A1" s="1" t="inlineStr">
        <is>
          <t>Pre-Operational Investment (Already Spent by Founder)</t>
        </is>
      </c>
    </row>
    <row r="2">
      <c r="A2" s="2" t="inlineStr">
        <is>
          <t>Incurred before the August 2026 launch — demonstrates founder commitment and operational readiness</t>
        </is>
      </c>
    </row>
    <row r="4">
      <c r="A4" s="12" t="inlineStr">
        <is>
          <t>Description</t>
        </is>
      </c>
      <c r="B4" s="13" t="inlineStr">
        <is>
          <t>Date</t>
        </is>
      </c>
      <c r="C4" s="13" t="inlineStr">
        <is>
          <t>Original Amount</t>
        </is>
      </c>
      <c r="D4" s="13" t="inlineStr">
        <is>
          <t>USD</t>
        </is>
      </c>
      <c r="E4" s="13" t="inlineStr">
        <is>
          <t>Category</t>
        </is>
      </c>
    </row>
    <row r="5">
      <c r="A5" s="9" t="inlineStr">
        <is>
          <t>Showroom renovation — 6th October City</t>
        </is>
      </c>
      <c r="B5" s="14" t="inlineStr">
        <is>
          <t>Jun 2026</t>
        </is>
      </c>
      <c r="C5" s="15" t="inlineStr">
        <is>
          <t>EGP 82,000</t>
        </is>
      </c>
      <c r="D5" s="16" t="n">
        <v>1640</v>
      </c>
      <c r="E5" s="17" t="inlineStr">
        <is>
          <t>Capex — Fit-out</t>
        </is>
      </c>
    </row>
    <row r="6">
      <c r="A6" s="9" t="inlineStr">
        <is>
          <t>Showroom furniture &amp; fittings</t>
        </is>
      </c>
      <c r="B6" s="14" t="inlineStr">
        <is>
          <t>Jun 2026</t>
        </is>
      </c>
      <c r="C6" s="15" t="inlineStr">
        <is>
          <t>EGP 85,000</t>
        </is>
      </c>
      <c r="D6" s="16" t="n">
        <v>1700</v>
      </c>
      <c r="E6" s="17" t="inlineStr">
        <is>
          <t>Capex — Fit-out</t>
        </is>
      </c>
    </row>
    <row r="7">
      <c r="A7" s="9" t="inlineStr">
        <is>
          <t>Security cameras &amp; CCTV</t>
        </is>
      </c>
      <c r="B7" s="14" t="inlineStr">
        <is>
          <t>Jun 2026</t>
        </is>
      </c>
      <c r="C7" s="15" t="inlineStr">
        <is>
          <t>EGP 7,500</t>
        </is>
      </c>
      <c r="D7" s="16" t="n">
        <v>150</v>
      </c>
      <c r="E7" s="17" t="inlineStr">
        <is>
          <t>Capex — Security</t>
        </is>
      </c>
    </row>
    <row r="8">
      <c r="A8" s="9" t="inlineStr">
        <is>
          <t>Additional setup &amp; equipment</t>
        </is>
      </c>
      <c r="B8" s="14" t="inlineStr">
        <is>
          <t>Jun 2026</t>
        </is>
      </c>
      <c r="C8" s="15" t="inlineStr">
        <is>
          <t>EGP 50,000</t>
        </is>
      </c>
      <c r="D8" s="16" t="n">
        <v>1000</v>
      </c>
      <c r="E8" s="17" t="inlineStr">
        <is>
          <t>Capex — Equipment</t>
        </is>
      </c>
    </row>
    <row r="9">
      <c r="A9" s="9" t="inlineStr">
        <is>
          <t>Legal &amp; licensing — Egypt company registration</t>
        </is>
      </c>
      <c r="B9" s="14" t="inlineStr">
        <is>
          <t>Jul 2025</t>
        </is>
      </c>
      <c r="C9" s="15" t="inlineStr">
        <is>
          <t>EGP 87,000</t>
        </is>
      </c>
      <c r="D9" s="16" t="n">
        <v>1740</v>
      </c>
      <c r="E9" s="17" t="inlineStr">
        <is>
          <t>OpEx — Legal/Egypt</t>
        </is>
      </c>
    </row>
    <row r="10">
      <c r="A10" s="9" t="inlineStr">
        <is>
          <t>Legal &amp; licensing — import permits Egypt</t>
        </is>
      </c>
      <c r="B10" s="14" t="inlineStr">
        <is>
          <t>Jun 2026</t>
        </is>
      </c>
      <c r="C10" s="15" t="inlineStr">
        <is>
          <t>EGP 80,000</t>
        </is>
      </c>
      <c r="D10" s="16" t="n">
        <v>1600</v>
      </c>
      <c r="E10" s="17" t="inlineStr">
        <is>
          <t>OpEx — Legal/Egypt</t>
        </is>
      </c>
    </row>
    <row r="11">
      <c r="A11" s="9" t="inlineStr">
        <is>
          <t>UAE business licence — NORCO General Trading LLC</t>
        </is>
      </c>
      <c r="B11" s="14" t="inlineStr">
        <is>
          <t>2025–2026</t>
        </is>
      </c>
      <c r="C11" s="15" t="inlineStr">
        <is>
          <t>AED 15,000</t>
        </is>
      </c>
      <c r="D11" s="16" t="n">
        <v>4084</v>
      </c>
      <c r="E11" s="17" t="inlineStr">
        <is>
          <t>OpEx — Legal/UAE</t>
        </is>
      </c>
    </row>
    <row r="12">
      <c r="A12" s="9" t="inlineStr">
        <is>
          <t>Showroom rent — pre-operations (2 months)</t>
        </is>
      </c>
      <c r="B12" s="14" t="inlineStr">
        <is>
          <t>Jun–Jul 2026</t>
        </is>
      </c>
      <c r="C12" s="15" t="inlineStr">
        <is>
          <t>EGP 20,000</t>
        </is>
      </c>
      <c r="D12" s="16" t="n">
        <v>400</v>
      </c>
      <c r="E12" s="17" t="inlineStr">
        <is>
          <t>OpEx — Rent</t>
        </is>
      </c>
    </row>
    <row r="13">
      <c r="A13" s="9" t="inlineStr">
        <is>
          <t>Sales representative salary — 2 months pre-launch</t>
        </is>
      </c>
      <c r="B13" s="14" t="inlineStr">
        <is>
          <t>Jun–Jul 2026</t>
        </is>
      </c>
      <c r="C13" s="15" t="inlineStr">
        <is>
          <t>2 × USD 500</t>
        </is>
      </c>
      <c r="D13" s="16" t="n">
        <v>1000</v>
      </c>
      <c r="E13" s="17" t="inlineStr">
        <is>
          <t>OpEx — Salaries</t>
        </is>
      </c>
    </row>
    <row r="14">
      <c r="A14" s="9" t="inlineStr">
        <is>
          <t>Products purchased &amp; sold through showroom (pre-launch trading)</t>
        </is>
      </c>
      <c r="B14" s="14" t="inlineStr">
        <is>
          <t>Jun–Jul 2026</t>
        </is>
      </c>
      <c r="C14" s="15" t="inlineStr">
        <is>
          <t>EGP 31,948.50</t>
        </is>
      </c>
      <c r="D14" s="16" t="n">
        <v>603</v>
      </c>
      <c r="E14" s="17" t="inlineStr">
        <is>
          <t>Working capital — Inventory</t>
        </is>
      </c>
    </row>
    <row r="15">
      <c r="A15" s="9" t="inlineStr">
        <is>
          <t>Company branding, logo &amp; stationery</t>
        </is>
      </c>
      <c r="B15" s="14" t="inlineStr">
        <is>
          <t>2025</t>
        </is>
      </c>
      <c r="C15" s="15" t="inlineStr">
        <is>
          <t>USD 300</t>
        </is>
      </c>
      <c r="D15" s="16" t="n">
        <v>300</v>
      </c>
      <c r="E15" s="17" t="inlineStr">
        <is>
          <t>OpEx — Marketing</t>
        </is>
      </c>
    </row>
    <row r="16">
      <c r="A16" s="9" t="inlineStr">
        <is>
          <t>Corporate website — norcotrading.com</t>
        </is>
      </c>
      <c r="B16" s="14" t="inlineStr">
        <is>
          <t>2025</t>
        </is>
      </c>
      <c r="C16" s="15" t="inlineStr">
        <is>
          <t>USD 300</t>
        </is>
      </c>
      <c r="D16" s="16" t="n">
        <v>300</v>
      </c>
      <c r="E16" s="17" t="inlineStr">
        <is>
          <t>OpEx — Marketing</t>
        </is>
      </c>
    </row>
    <row r="17">
      <c r="A17" s="18" t="inlineStr">
        <is>
          <t>TOTAL PRE-OPERATIONAL INVESTMENT</t>
        </is>
      </c>
      <c r="B17" s="19" t="n"/>
      <c r="C17" s="19" t="n"/>
      <c r="D17" s="20">
        <f>SUM(D5:D16)</f>
        <v/>
      </c>
      <c r="E17" s="19" t="n"/>
    </row>
    <row r="19">
      <c r="A19" s="21" t="inlineStr">
        <is>
          <t>Note: EGP 31,948.50 of product stock was purchased and sold through the operating showroom before launch — live proof of demand at the retail point of sale.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</cols>
  <sheetData>
    <row r="1">
      <c r="A1" s="1" t="inlineStr">
        <is>
          <t>Pricing Reference — Vestwoods</t>
        </is>
      </c>
    </row>
    <row r="2">
      <c r="A2" s="2" t="inlineStr">
        <is>
          <t>Verified unit pricing (EGP 53 = USD 1) | 40ft container USD 6,865 shipping | landed = factory + freight + 5% duty + 2% GOEIC + handling</t>
        </is>
      </c>
    </row>
    <row r="4">
      <c r="A4" s="12" t="inlineStr">
        <is>
          <t>Model</t>
        </is>
      </c>
      <c r="B4" s="13" t="inlineStr">
        <is>
          <t>Description</t>
        </is>
      </c>
      <c r="C4" s="13" t="inlineStr">
        <is>
          <t>Qty / 40ft</t>
        </is>
      </c>
      <c r="D4" s="13" t="inlineStr">
        <is>
          <t>Factory</t>
        </is>
      </c>
      <c r="E4" s="13" t="inlineStr">
        <is>
          <t>Landed COGS</t>
        </is>
      </c>
      <c r="F4" s="13" t="inlineStr">
        <is>
          <t>Wholesale</t>
        </is>
      </c>
      <c r="G4" s="13" t="inlineStr">
        <is>
          <t>Retail USD</t>
        </is>
      </c>
      <c r="H4" s="13" t="inlineStr">
        <is>
          <t>Retail EGP</t>
        </is>
      </c>
    </row>
    <row r="5">
      <c r="A5" s="22" t="inlineStr">
        <is>
          <t>VE51100L</t>
        </is>
      </c>
      <c r="B5" s="22" t="inlineStr">
        <is>
          <t>Smart Battery 5.12kWh</t>
        </is>
      </c>
      <c r="C5" s="23" t="n">
        <v>70</v>
      </c>
      <c r="D5" s="23" t="n">
        <v>672</v>
      </c>
      <c r="E5" s="23" t="n">
        <v>988</v>
      </c>
      <c r="F5" s="23" t="n">
        <v>1137</v>
      </c>
      <c r="G5" s="23" t="n">
        <v>1364</v>
      </c>
      <c r="H5" s="23" t="n">
        <v>72292</v>
      </c>
    </row>
    <row r="6">
      <c r="A6" s="22" t="inlineStr">
        <is>
          <t>VE51200L</t>
        </is>
      </c>
      <c r="B6" s="22" t="inlineStr">
        <is>
          <t>Smart Battery 10.24kWh</t>
        </is>
      </c>
      <c r="C6" s="23" t="n">
        <v>24</v>
      </c>
      <c r="D6" s="23" t="n">
        <v>1200</v>
      </c>
      <c r="E6" s="23" t="n">
        <v>1748</v>
      </c>
      <c r="F6" s="23" t="n">
        <v>2011</v>
      </c>
      <c r="G6" s="23" t="n">
        <v>2413</v>
      </c>
      <c r="H6" s="23" t="n">
        <v>127889</v>
      </c>
    </row>
    <row r="7">
      <c r="A7" s="22" t="inlineStr">
        <is>
          <t>VE51314L</t>
        </is>
      </c>
      <c r="B7" s="22" t="inlineStr">
        <is>
          <t>Smart Battery 16.07kWh</t>
        </is>
      </c>
      <c r="C7" s="23" t="n">
        <v>32</v>
      </c>
      <c r="D7" s="23" t="n">
        <v>1560</v>
      </c>
      <c r="E7" s="23" t="n">
        <v>2266</v>
      </c>
      <c r="F7" s="23" t="n">
        <v>2607</v>
      </c>
      <c r="G7" s="23" t="n">
        <v>3129</v>
      </c>
      <c r="H7" s="23" t="n">
        <v>165837</v>
      </c>
    </row>
    <row r="8">
      <c r="A8" s="22" t="inlineStr">
        <is>
          <t>VEH-T20KA3</t>
        </is>
      </c>
      <c r="B8" s="22" t="inlineStr">
        <is>
          <t>3-Phase Inverter 20kW</t>
        </is>
      </c>
      <c r="C8" s="23" t="n">
        <v>24</v>
      </c>
      <c r="D8" s="23" t="n">
        <v>1870</v>
      </c>
      <c r="E8" s="23" t="n">
        <v>2713</v>
      </c>
      <c r="F8" s="23" t="n">
        <v>3121</v>
      </c>
      <c r="G8" s="23" t="n">
        <v>3745</v>
      </c>
      <c r="H8" s="23" t="n">
        <v>198485</v>
      </c>
    </row>
    <row r="9">
      <c r="A9" s="22" t="inlineStr">
        <is>
          <t>HEH-S6KB3</t>
        </is>
      </c>
      <c r="B9" s="22" t="inlineStr">
        <is>
          <t>Hybrid Inverter 6kW</t>
        </is>
      </c>
      <c r="C9" s="23" t="n">
        <v>70</v>
      </c>
      <c r="D9" s="23" t="n">
        <v>390</v>
      </c>
      <c r="E9" s="23" t="n">
        <v>582</v>
      </c>
      <c r="F9" s="23" t="n">
        <v>670</v>
      </c>
      <c r="G9" s="23" t="n">
        <v>804</v>
      </c>
      <c r="H9" s="23" t="n">
        <v>42612</v>
      </c>
    </row>
    <row r="10">
      <c r="A10" s="22" t="inlineStr">
        <is>
          <t>VEP500W</t>
        </is>
      </c>
      <c r="B10" s="22" t="inlineStr">
        <is>
          <t>Rescube Portable 0.5kW/1kWh</t>
        </is>
      </c>
      <c r="C10" s="23" t="n">
        <v>40</v>
      </c>
      <c r="D10" s="23" t="n">
        <v>145</v>
      </c>
      <c r="E10" s="23" t="n">
        <v>229</v>
      </c>
      <c r="F10" s="23" t="n">
        <v>264</v>
      </c>
      <c r="G10" s="23" t="n">
        <v>317</v>
      </c>
      <c r="H10" s="23" t="n">
        <v>16801</v>
      </c>
    </row>
    <row r="11">
      <c r="A11" s="22" t="inlineStr">
        <is>
          <t>VEP1K20</t>
        </is>
      </c>
      <c r="B11" s="22" t="inlineStr">
        <is>
          <t>Rescube All-in-One 1kW/2kWh</t>
        </is>
      </c>
      <c r="C11" s="23" t="n">
        <v>80</v>
      </c>
      <c r="D11" s="23" t="n">
        <v>365</v>
      </c>
      <c r="E11" s="23" t="n">
        <v>546</v>
      </c>
      <c r="F11" s="23" t="n">
        <v>628</v>
      </c>
      <c r="G11" s="23" t="n">
        <v>754</v>
      </c>
      <c r="H11" s="23" t="n">
        <v>39962</v>
      </c>
    </row>
    <row r="12">
      <c r="A12" s="24" t="inlineStr">
        <is>
          <t>CONTAINER TOTALS (340 units)</t>
        </is>
      </c>
      <c r="B12" s="25" t="inlineStr">
        <is>
          <t>40ft FCL China → Alexandria</t>
        </is>
      </c>
      <c r="C12" s="26">
        <f>SUM(C5:C11)</f>
        <v/>
      </c>
      <c r="D12" s="26" t="n">
        <v>239805</v>
      </c>
      <c r="E12" s="26" t="n">
        <v>342316</v>
      </c>
      <c r="F12" s="26" t="n">
        <v>393861</v>
      </c>
      <c r="G12" s="26" t="n">
        <v>472680</v>
      </c>
      <c r="H12" s="19" t="n"/>
    </row>
    <row r="13" ht="24" customHeight="1">
      <c r="A13" s="27" t="inlineStr">
        <is>
          <t>• Egypt container revenue (50% retail / 50% wholesale): USD 433,281 — product cost 79% of revenue (21.0% margin).</t>
        </is>
      </c>
    </row>
    <row r="14" ht="24" customHeight="1">
      <c r="A14" s="27" t="inlineStr">
        <is>
          <t>• Export container revenue (wholesale, Sudan/Algeria/Libya): USD 393,861 — booked at 50% product cost per the founder's negotiated export supply pricing.</t>
        </is>
      </c>
    </row>
    <row r="15" ht="24" customHeight="1">
      <c r="A15" s="27" t="inlineStr">
        <is>
          <t>• DILIGENCE NOTE: at the USD 342,316 landed container cost, USD 393,861 wholesale implies a ~13% margin. The 50% export margin in this model rests on the supply agreement — confirm before relying on the export gross margin.</t>
        </is>
      </c>
    </row>
  </sheetData>
  <mergeCells count="5">
    <mergeCell ref="A15:H15"/>
    <mergeCell ref="A2:H2"/>
    <mergeCell ref="A13:H13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5" max="15"/>
  </cols>
  <sheetData>
    <row r="1">
      <c r="A1" s="1" t="inlineStr">
        <is>
          <t>Staffing Plan &amp; Monthly Payroll (USD)</t>
        </is>
      </c>
    </row>
    <row r="2">
      <c r="A2" s="2" t="inlineStr">
        <is>
          <t>Phased hiring | base salaries (pre-15% benefits) | Year-1 monthly detail | Years 2–5 annual rosters</t>
        </is>
      </c>
    </row>
    <row r="4">
      <c r="A4" s="28" t="inlineStr">
        <is>
          <t>ROLE</t>
        </is>
      </c>
      <c r="B4" s="29" t="inlineStr">
        <is>
          <t>Monthly
Salary</t>
        </is>
      </c>
      <c r="C4" s="29" t="inlineStr">
        <is>
          <t>Aug-26</t>
        </is>
      </c>
      <c r="D4" s="29" t="inlineStr">
        <is>
          <t>Sep-26</t>
        </is>
      </c>
      <c r="E4" s="29" t="inlineStr">
        <is>
          <t>Oct-26</t>
        </is>
      </c>
      <c r="F4" s="29" t="inlineStr">
        <is>
          <t>Nov-26</t>
        </is>
      </c>
      <c r="G4" s="29" t="inlineStr">
        <is>
          <t>Dec-26</t>
        </is>
      </c>
      <c r="H4" s="29" t="inlineStr">
        <is>
          <t>Jan-27</t>
        </is>
      </c>
      <c r="I4" s="29" t="inlineStr">
        <is>
          <t>Feb-27</t>
        </is>
      </c>
      <c r="J4" s="29" t="inlineStr">
        <is>
          <t>Mar-27</t>
        </is>
      </c>
      <c r="K4" s="29" t="inlineStr">
        <is>
          <t>Apr-27</t>
        </is>
      </c>
      <c r="L4" s="29" t="inlineStr">
        <is>
          <t>May-27</t>
        </is>
      </c>
      <c r="M4" s="29" t="inlineStr">
        <is>
          <t>Jun-27</t>
        </is>
      </c>
      <c r="N4" s="29" t="inlineStr">
        <is>
          <t>Jul-27</t>
        </is>
      </c>
      <c r="O4" s="29" t="inlineStr">
        <is>
          <t>Y1 Total</t>
        </is>
      </c>
    </row>
    <row r="5">
      <c r="A5" s="30" t="inlineStr">
        <is>
          <t>CEO / Director</t>
        </is>
      </c>
      <c r="B5" s="31" t="n">
        <v>8000</v>
      </c>
      <c r="C5" s="31" t="n">
        <v>8000</v>
      </c>
      <c r="D5" s="31" t="n">
        <v>8000</v>
      </c>
      <c r="E5" s="31" t="n">
        <v>8000</v>
      </c>
      <c r="F5" s="31" t="n">
        <v>8000</v>
      </c>
      <c r="G5" s="31" t="n">
        <v>8000</v>
      </c>
      <c r="H5" s="31" t="n">
        <v>8000</v>
      </c>
      <c r="I5" s="31" t="n">
        <v>8000</v>
      </c>
      <c r="J5" s="31" t="n">
        <v>8000</v>
      </c>
      <c r="K5" s="31" t="n">
        <v>8000</v>
      </c>
      <c r="L5" s="31" t="n">
        <v>8000</v>
      </c>
      <c r="M5" s="31" t="n">
        <v>8000</v>
      </c>
      <c r="N5" s="31" t="n">
        <v>8000</v>
      </c>
      <c r="O5" s="32" t="n">
        <v>96000</v>
      </c>
    </row>
    <row r="6">
      <c r="A6" s="30" t="inlineStr">
        <is>
          <t>Financial Manager</t>
        </is>
      </c>
      <c r="B6" s="31" t="n">
        <v>4000</v>
      </c>
      <c r="C6" s="31" t="n">
        <v>4000</v>
      </c>
      <c r="D6" s="31" t="n">
        <v>4000</v>
      </c>
      <c r="E6" s="31" t="n">
        <v>4000</v>
      </c>
      <c r="F6" s="31" t="n">
        <v>4000</v>
      </c>
      <c r="G6" s="31" t="n">
        <v>4000</v>
      </c>
      <c r="H6" s="31" t="n">
        <v>4000</v>
      </c>
      <c r="I6" s="31" t="n">
        <v>4000</v>
      </c>
      <c r="J6" s="31" t="n">
        <v>4000</v>
      </c>
      <c r="K6" s="31" t="n">
        <v>4000</v>
      </c>
      <c r="L6" s="31" t="n">
        <v>4000</v>
      </c>
      <c r="M6" s="31" t="n">
        <v>4000</v>
      </c>
      <c r="N6" s="31" t="n">
        <v>4000</v>
      </c>
      <c r="O6" s="32" t="n">
        <v>48000</v>
      </c>
    </row>
    <row r="7">
      <c r="A7" s="30" t="inlineStr">
        <is>
          <t>Operations Manager</t>
        </is>
      </c>
      <c r="B7" s="31" t="n">
        <v>4000</v>
      </c>
      <c r="C7" s="31" t="n">
        <v>4000</v>
      </c>
      <c r="D7" s="31" t="n">
        <v>4000</v>
      </c>
      <c r="E7" s="31" t="n">
        <v>4000</v>
      </c>
      <c r="F7" s="31" t="n">
        <v>4000</v>
      </c>
      <c r="G7" s="31" t="n">
        <v>4000</v>
      </c>
      <c r="H7" s="31" t="n">
        <v>4000</v>
      </c>
      <c r="I7" s="31" t="n">
        <v>4000</v>
      </c>
      <c r="J7" s="31" t="n">
        <v>4000</v>
      </c>
      <c r="K7" s="31" t="n">
        <v>4000</v>
      </c>
      <c r="L7" s="31" t="n">
        <v>4000</v>
      </c>
      <c r="M7" s="31" t="n">
        <v>4000</v>
      </c>
      <c r="N7" s="31" t="n">
        <v>4000</v>
      </c>
      <c r="O7" s="32" t="n">
        <v>48000</v>
      </c>
    </row>
    <row r="8">
      <c r="A8" s="30" t="inlineStr">
        <is>
          <t>Marketing Manager</t>
        </is>
      </c>
      <c r="B8" s="31" t="n">
        <v>1500</v>
      </c>
      <c r="C8" s="33" t="inlineStr">
        <is>
          <t>–</t>
        </is>
      </c>
      <c r="D8" s="33" t="inlineStr">
        <is>
          <t>–</t>
        </is>
      </c>
      <c r="E8" s="31" t="n">
        <v>1500</v>
      </c>
      <c r="F8" s="31" t="n">
        <v>1500</v>
      </c>
      <c r="G8" s="31" t="n">
        <v>1500</v>
      </c>
      <c r="H8" s="31" t="n">
        <v>1500</v>
      </c>
      <c r="I8" s="31" t="n">
        <v>1500</v>
      </c>
      <c r="J8" s="31" t="n">
        <v>1500</v>
      </c>
      <c r="K8" s="31" t="n">
        <v>1500</v>
      </c>
      <c r="L8" s="31" t="n">
        <v>1500</v>
      </c>
      <c r="M8" s="31" t="n">
        <v>1500</v>
      </c>
      <c r="N8" s="31" t="n">
        <v>1500</v>
      </c>
      <c r="O8" s="32" t="n">
        <v>15000</v>
      </c>
    </row>
    <row r="9">
      <c r="A9" s="30" t="inlineStr">
        <is>
          <t>HR Manager</t>
        </is>
      </c>
      <c r="B9" s="31" t="n">
        <v>1000</v>
      </c>
      <c r="C9" s="33" t="inlineStr">
        <is>
          <t>–</t>
        </is>
      </c>
      <c r="D9" s="33" t="inlineStr">
        <is>
          <t>–</t>
        </is>
      </c>
      <c r="E9" s="31" t="n">
        <v>1000</v>
      </c>
      <c r="F9" s="31" t="n">
        <v>1000</v>
      </c>
      <c r="G9" s="31" t="n">
        <v>1000</v>
      </c>
      <c r="H9" s="31" t="n">
        <v>1000</v>
      </c>
      <c r="I9" s="31" t="n">
        <v>1000</v>
      </c>
      <c r="J9" s="31" t="n">
        <v>1000</v>
      </c>
      <c r="K9" s="31" t="n">
        <v>1000</v>
      </c>
      <c r="L9" s="31" t="n">
        <v>1000</v>
      </c>
      <c r="M9" s="31" t="n">
        <v>1000</v>
      </c>
      <c r="N9" s="31" t="n">
        <v>1000</v>
      </c>
      <c r="O9" s="32" t="n">
        <v>10000</v>
      </c>
    </row>
    <row r="10">
      <c r="A10" s="30" t="inlineStr">
        <is>
          <t>Sales Manager</t>
        </is>
      </c>
      <c r="B10" s="31" t="n">
        <v>3000</v>
      </c>
      <c r="C10" s="33" t="inlineStr">
        <is>
          <t>–</t>
        </is>
      </c>
      <c r="D10" s="31" t="n">
        <v>3000</v>
      </c>
      <c r="E10" s="31" t="n">
        <v>3000</v>
      </c>
      <c r="F10" s="31" t="n">
        <v>3000</v>
      </c>
      <c r="G10" s="31" t="n">
        <v>3000</v>
      </c>
      <c r="H10" s="31" t="n">
        <v>3000</v>
      </c>
      <c r="I10" s="31" t="n">
        <v>3000</v>
      </c>
      <c r="J10" s="31" t="n">
        <v>3000</v>
      </c>
      <c r="K10" s="31" t="n">
        <v>3000</v>
      </c>
      <c r="L10" s="31" t="n">
        <v>3000</v>
      </c>
      <c r="M10" s="31" t="n">
        <v>3000</v>
      </c>
      <c r="N10" s="31" t="n">
        <v>3000</v>
      </c>
      <c r="O10" s="32" t="n">
        <v>33000</v>
      </c>
    </row>
    <row r="11">
      <c r="A11" s="30" t="inlineStr">
        <is>
          <t>Warehouse Manager</t>
        </is>
      </c>
      <c r="B11" s="31" t="n">
        <v>1200</v>
      </c>
      <c r="C11" s="31" t="n">
        <v>1200</v>
      </c>
      <c r="D11" s="31" t="n">
        <v>1200</v>
      </c>
      <c r="E11" s="31" t="n">
        <v>1200</v>
      </c>
      <c r="F11" s="31" t="n">
        <v>1200</v>
      </c>
      <c r="G11" s="31" t="n">
        <v>1200</v>
      </c>
      <c r="H11" s="31" t="n">
        <v>1200</v>
      </c>
      <c r="I11" s="31" t="n">
        <v>1200</v>
      </c>
      <c r="J11" s="31" t="n">
        <v>1200</v>
      </c>
      <c r="K11" s="31" t="n">
        <v>1200</v>
      </c>
      <c r="L11" s="31" t="n">
        <v>1200</v>
      </c>
      <c r="M11" s="31" t="n">
        <v>1200</v>
      </c>
      <c r="N11" s="31" t="n">
        <v>1200</v>
      </c>
      <c r="O11" s="32" t="n">
        <v>14400</v>
      </c>
    </row>
    <row r="12">
      <c r="A12" s="30" t="inlineStr">
        <is>
          <t>Accountant #1</t>
        </is>
      </c>
      <c r="B12" s="31" t="n">
        <v>800</v>
      </c>
      <c r="C12" s="33" t="inlineStr">
        <is>
          <t>–</t>
        </is>
      </c>
      <c r="D12" s="31" t="n">
        <v>800</v>
      </c>
      <c r="E12" s="31" t="n">
        <v>800</v>
      </c>
      <c r="F12" s="31" t="n">
        <v>800</v>
      </c>
      <c r="G12" s="31" t="n">
        <v>800</v>
      </c>
      <c r="H12" s="31" t="n">
        <v>800</v>
      </c>
      <c r="I12" s="31" t="n">
        <v>800</v>
      </c>
      <c r="J12" s="31" t="n">
        <v>800</v>
      </c>
      <c r="K12" s="31" t="n">
        <v>800</v>
      </c>
      <c r="L12" s="31" t="n">
        <v>800</v>
      </c>
      <c r="M12" s="31" t="n">
        <v>800</v>
      </c>
      <c r="N12" s="31" t="n">
        <v>800</v>
      </c>
      <c r="O12" s="32" t="n">
        <v>8800</v>
      </c>
    </row>
    <row r="13">
      <c r="A13" s="30" t="inlineStr">
        <is>
          <t>Accountant #2</t>
        </is>
      </c>
      <c r="B13" s="31" t="n">
        <v>800</v>
      </c>
      <c r="C13" s="33" t="inlineStr">
        <is>
          <t>–</t>
        </is>
      </c>
      <c r="D13" s="33" t="inlineStr">
        <is>
          <t>–</t>
        </is>
      </c>
      <c r="E13" s="33" t="inlineStr">
        <is>
          <t>–</t>
        </is>
      </c>
      <c r="F13" s="33" t="inlineStr">
        <is>
          <t>–</t>
        </is>
      </c>
      <c r="G13" s="33" t="inlineStr">
        <is>
          <t>–</t>
        </is>
      </c>
      <c r="H13" s="33" t="inlineStr">
        <is>
          <t>–</t>
        </is>
      </c>
      <c r="I13" s="33" t="inlineStr">
        <is>
          <t>–</t>
        </is>
      </c>
      <c r="J13" s="31" t="n">
        <v>800</v>
      </c>
      <c r="K13" s="31" t="n">
        <v>800</v>
      </c>
      <c r="L13" s="31" t="n">
        <v>800</v>
      </c>
      <c r="M13" s="31" t="n">
        <v>800</v>
      </c>
      <c r="N13" s="31" t="n">
        <v>800</v>
      </c>
      <c r="O13" s="32" t="n">
        <v>4000</v>
      </c>
    </row>
    <row r="14">
      <c r="A14" s="30" t="inlineStr">
        <is>
          <t>Showroom Manager #1 (6th October)</t>
        </is>
      </c>
      <c r="B14" s="31" t="n">
        <v>500</v>
      </c>
      <c r="C14" s="31" t="n">
        <v>500</v>
      </c>
      <c r="D14" s="31" t="n">
        <v>500</v>
      </c>
      <c r="E14" s="31" t="n">
        <v>500</v>
      </c>
      <c r="F14" s="31" t="n">
        <v>500</v>
      </c>
      <c r="G14" s="31" t="n">
        <v>500</v>
      </c>
      <c r="H14" s="31" t="n">
        <v>500</v>
      </c>
      <c r="I14" s="31" t="n">
        <v>500</v>
      </c>
      <c r="J14" s="31" t="n">
        <v>500</v>
      </c>
      <c r="K14" s="31" t="n">
        <v>500</v>
      </c>
      <c r="L14" s="31" t="n">
        <v>500</v>
      </c>
      <c r="M14" s="31" t="n">
        <v>500</v>
      </c>
      <c r="N14" s="31" t="n">
        <v>500</v>
      </c>
      <c r="O14" s="32" t="n">
        <v>6000</v>
      </c>
    </row>
    <row r="15">
      <c r="A15" s="30" t="inlineStr">
        <is>
          <t>Showroom Manager #2 (New Cairo)</t>
        </is>
      </c>
      <c r="B15" s="31" t="n">
        <v>800</v>
      </c>
      <c r="C15" s="33" t="inlineStr">
        <is>
          <t>–</t>
        </is>
      </c>
      <c r="D15" s="31" t="n">
        <v>800</v>
      </c>
      <c r="E15" s="31" t="n">
        <v>800</v>
      </c>
      <c r="F15" s="31" t="n">
        <v>800</v>
      </c>
      <c r="G15" s="31" t="n">
        <v>800</v>
      </c>
      <c r="H15" s="31" t="n">
        <v>800</v>
      </c>
      <c r="I15" s="31" t="n">
        <v>800</v>
      </c>
      <c r="J15" s="31" t="n">
        <v>800</v>
      </c>
      <c r="K15" s="31" t="n">
        <v>800</v>
      </c>
      <c r="L15" s="31" t="n">
        <v>800</v>
      </c>
      <c r="M15" s="31" t="n">
        <v>800</v>
      </c>
      <c r="N15" s="31" t="n">
        <v>800</v>
      </c>
      <c r="O15" s="32" t="n">
        <v>8800</v>
      </c>
    </row>
    <row r="16">
      <c r="A16" s="30" t="inlineStr">
        <is>
          <t>Sales Staff #1</t>
        </is>
      </c>
      <c r="B16" s="31" t="n">
        <v>600</v>
      </c>
      <c r="C16" s="33" t="inlineStr">
        <is>
          <t>–</t>
        </is>
      </c>
      <c r="D16" s="33" t="inlineStr">
        <is>
          <t>–</t>
        </is>
      </c>
      <c r="E16" s="31" t="n">
        <v>600</v>
      </c>
      <c r="F16" s="31" t="n">
        <v>600</v>
      </c>
      <c r="G16" s="31" t="n">
        <v>600</v>
      </c>
      <c r="H16" s="31" t="n">
        <v>600</v>
      </c>
      <c r="I16" s="31" t="n">
        <v>600</v>
      </c>
      <c r="J16" s="31" t="n">
        <v>600</v>
      </c>
      <c r="K16" s="31" t="n">
        <v>600</v>
      </c>
      <c r="L16" s="31" t="n">
        <v>600</v>
      </c>
      <c r="M16" s="31" t="n">
        <v>600</v>
      </c>
      <c r="N16" s="31" t="n">
        <v>600</v>
      </c>
      <c r="O16" s="32" t="n">
        <v>6000</v>
      </c>
    </row>
    <row r="17">
      <c r="A17" s="30" t="inlineStr">
        <is>
          <t>Sales Staff #2</t>
        </is>
      </c>
      <c r="B17" s="31" t="n">
        <v>600</v>
      </c>
      <c r="C17" s="33" t="inlineStr">
        <is>
          <t>–</t>
        </is>
      </c>
      <c r="D17" s="33" t="inlineStr">
        <is>
          <t>–</t>
        </is>
      </c>
      <c r="E17" s="33" t="inlineStr">
        <is>
          <t>–</t>
        </is>
      </c>
      <c r="F17" s="31" t="n">
        <v>600</v>
      </c>
      <c r="G17" s="31" t="n">
        <v>600</v>
      </c>
      <c r="H17" s="31" t="n">
        <v>600</v>
      </c>
      <c r="I17" s="31" t="n">
        <v>600</v>
      </c>
      <c r="J17" s="31" t="n">
        <v>600</v>
      </c>
      <c r="K17" s="31" t="n">
        <v>600</v>
      </c>
      <c r="L17" s="31" t="n">
        <v>600</v>
      </c>
      <c r="M17" s="31" t="n">
        <v>600</v>
      </c>
      <c r="N17" s="31" t="n">
        <v>600</v>
      </c>
      <c r="O17" s="32" t="n">
        <v>5400</v>
      </c>
    </row>
    <row r="18">
      <c r="A18" s="30" t="inlineStr">
        <is>
          <t>Sales Staff #3</t>
        </is>
      </c>
      <c r="B18" s="31" t="n">
        <v>600</v>
      </c>
      <c r="C18" s="33" t="inlineStr">
        <is>
          <t>–</t>
        </is>
      </c>
      <c r="D18" s="33" t="inlineStr">
        <is>
          <t>–</t>
        </is>
      </c>
      <c r="E18" s="33" t="inlineStr">
        <is>
          <t>–</t>
        </is>
      </c>
      <c r="F18" s="33" t="inlineStr">
        <is>
          <t>–</t>
        </is>
      </c>
      <c r="G18" s="33" t="inlineStr">
        <is>
          <t>–</t>
        </is>
      </c>
      <c r="H18" s="31" t="n">
        <v>600</v>
      </c>
      <c r="I18" s="31" t="n">
        <v>600</v>
      </c>
      <c r="J18" s="31" t="n">
        <v>600</v>
      </c>
      <c r="K18" s="31" t="n">
        <v>600</v>
      </c>
      <c r="L18" s="31" t="n">
        <v>600</v>
      </c>
      <c r="M18" s="31" t="n">
        <v>600</v>
      </c>
      <c r="N18" s="31" t="n">
        <v>600</v>
      </c>
      <c r="O18" s="32" t="n">
        <v>4200</v>
      </c>
    </row>
    <row r="19">
      <c r="A19" s="30" t="inlineStr">
        <is>
          <t>Sales Staff #4</t>
        </is>
      </c>
      <c r="B19" s="31" t="n">
        <v>600</v>
      </c>
      <c r="C19" s="33" t="inlineStr">
        <is>
          <t>–</t>
        </is>
      </c>
      <c r="D19" s="33" t="inlineStr">
        <is>
          <t>–</t>
        </is>
      </c>
      <c r="E19" s="33" t="inlineStr">
        <is>
          <t>–</t>
        </is>
      </c>
      <c r="F19" s="33" t="inlineStr">
        <is>
          <t>–</t>
        </is>
      </c>
      <c r="G19" s="33" t="inlineStr">
        <is>
          <t>–</t>
        </is>
      </c>
      <c r="H19" s="33" t="inlineStr">
        <is>
          <t>–</t>
        </is>
      </c>
      <c r="I19" s="33" t="inlineStr">
        <is>
          <t>–</t>
        </is>
      </c>
      <c r="J19" s="31" t="n">
        <v>600</v>
      </c>
      <c r="K19" s="31" t="n">
        <v>600</v>
      </c>
      <c r="L19" s="31" t="n">
        <v>600</v>
      </c>
      <c r="M19" s="31" t="n">
        <v>600</v>
      </c>
      <c r="N19" s="31" t="n">
        <v>600</v>
      </c>
      <c r="O19" s="32" t="n">
        <v>3000</v>
      </c>
    </row>
    <row r="20">
      <c r="A20" s="30" t="inlineStr">
        <is>
          <t>Driver #1</t>
        </is>
      </c>
      <c r="B20" s="31" t="n">
        <v>500</v>
      </c>
      <c r="C20" s="31" t="n">
        <v>500</v>
      </c>
      <c r="D20" s="31" t="n">
        <v>500</v>
      </c>
      <c r="E20" s="31" t="n">
        <v>500</v>
      </c>
      <c r="F20" s="31" t="n">
        <v>500</v>
      </c>
      <c r="G20" s="31" t="n">
        <v>500</v>
      </c>
      <c r="H20" s="31" t="n">
        <v>500</v>
      </c>
      <c r="I20" s="31" t="n">
        <v>500</v>
      </c>
      <c r="J20" s="31" t="n">
        <v>500</v>
      </c>
      <c r="K20" s="31" t="n">
        <v>500</v>
      </c>
      <c r="L20" s="31" t="n">
        <v>500</v>
      </c>
      <c r="M20" s="31" t="n">
        <v>500</v>
      </c>
      <c r="N20" s="31" t="n">
        <v>500</v>
      </c>
      <c r="O20" s="32" t="n">
        <v>6000</v>
      </c>
    </row>
    <row r="21">
      <c r="A21" s="30" t="inlineStr">
        <is>
          <t>Driver #2</t>
        </is>
      </c>
      <c r="B21" s="31" t="n">
        <v>500</v>
      </c>
      <c r="C21" s="33" t="inlineStr">
        <is>
          <t>–</t>
        </is>
      </c>
      <c r="D21" s="33" t="inlineStr">
        <is>
          <t>–</t>
        </is>
      </c>
      <c r="E21" s="33" t="inlineStr">
        <is>
          <t>–</t>
        </is>
      </c>
      <c r="F21" s="31" t="n">
        <v>500</v>
      </c>
      <c r="G21" s="31" t="n">
        <v>500</v>
      </c>
      <c r="H21" s="31" t="n">
        <v>500</v>
      </c>
      <c r="I21" s="31" t="n">
        <v>500</v>
      </c>
      <c r="J21" s="31" t="n">
        <v>500</v>
      </c>
      <c r="K21" s="31" t="n">
        <v>500</v>
      </c>
      <c r="L21" s="31" t="n">
        <v>500</v>
      </c>
      <c r="M21" s="31" t="n">
        <v>500</v>
      </c>
      <c r="N21" s="31" t="n">
        <v>500</v>
      </c>
      <c r="O21" s="32" t="n">
        <v>4500</v>
      </c>
    </row>
    <row r="22">
      <c r="A22" s="30" t="inlineStr">
        <is>
          <t>Administrative Asst #1</t>
        </is>
      </c>
      <c r="B22" s="31" t="n">
        <v>600</v>
      </c>
      <c r="C22" s="31" t="n">
        <v>600</v>
      </c>
      <c r="D22" s="31" t="n">
        <v>600</v>
      </c>
      <c r="E22" s="31" t="n">
        <v>600</v>
      </c>
      <c r="F22" s="31" t="n">
        <v>600</v>
      </c>
      <c r="G22" s="31" t="n">
        <v>600</v>
      </c>
      <c r="H22" s="31" t="n">
        <v>600</v>
      </c>
      <c r="I22" s="31" t="n">
        <v>600</v>
      </c>
      <c r="J22" s="31" t="n">
        <v>600</v>
      </c>
      <c r="K22" s="31" t="n">
        <v>600</v>
      </c>
      <c r="L22" s="31" t="n">
        <v>600</v>
      </c>
      <c r="M22" s="31" t="n">
        <v>600</v>
      </c>
      <c r="N22" s="31" t="n">
        <v>600</v>
      </c>
      <c r="O22" s="32" t="n">
        <v>7200</v>
      </c>
    </row>
    <row r="23">
      <c r="A23" s="30" t="inlineStr">
        <is>
          <t>Administrative Asst #2</t>
        </is>
      </c>
      <c r="B23" s="31" t="n">
        <v>600</v>
      </c>
      <c r="C23" s="33" t="inlineStr">
        <is>
          <t>–</t>
        </is>
      </c>
      <c r="D23" s="33" t="inlineStr">
        <is>
          <t>–</t>
        </is>
      </c>
      <c r="E23" s="33" t="inlineStr">
        <is>
          <t>–</t>
        </is>
      </c>
      <c r="F23" s="33" t="inlineStr">
        <is>
          <t>–</t>
        </is>
      </c>
      <c r="G23" s="33" t="inlineStr">
        <is>
          <t>–</t>
        </is>
      </c>
      <c r="H23" s="31" t="n">
        <v>600</v>
      </c>
      <c r="I23" s="31" t="n">
        <v>600</v>
      </c>
      <c r="J23" s="31" t="n">
        <v>600</v>
      </c>
      <c r="K23" s="31" t="n">
        <v>600</v>
      </c>
      <c r="L23" s="31" t="n">
        <v>600</v>
      </c>
      <c r="M23" s="31" t="n">
        <v>600</v>
      </c>
      <c r="N23" s="31" t="n">
        <v>600</v>
      </c>
      <c r="O23" s="32" t="n">
        <v>4200</v>
      </c>
    </row>
    <row r="24">
      <c r="A24" s="30" t="inlineStr">
        <is>
          <t>Warehouse Staff #1</t>
        </is>
      </c>
      <c r="B24" s="31" t="n">
        <v>600</v>
      </c>
      <c r="C24" s="33" t="inlineStr">
        <is>
          <t>–</t>
        </is>
      </c>
      <c r="D24" s="33" t="inlineStr">
        <is>
          <t>–</t>
        </is>
      </c>
      <c r="E24" s="33" t="inlineStr">
        <is>
          <t>–</t>
        </is>
      </c>
      <c r="F24" s="31" t="n">
        <v>600</v>
      </c>
      <c r="G24" s="31" t="n">
        <v>600</v>
      </c>
      <c r="H24" s="31" t="n">
        <v>600</v>
      </c>
      <c r="I24" s="31" t="n">
        <v>600</v>
      </c>
      <c r="J24" s="31" t="n">
        <v>600</v>
      </c>
      <c r="K24" s="31" t="n">
        <v>600</v>
      </c>
      <c r="L24" s="31" t="n">
        <v>600</v>
      </c>
      <c r="M24" s="31" t="n">
        <v>600</v>
      </c>
      <c r="N24" s="31" t="n">
        <v>600</v>
      </c>
      <c r="O24" s="32" t="n">
        <v>5400</v>
      </c>
    </row>
    <row r="25">
      <c r="A25" s="30" t="inlineStr">
        <is>
          <t>Warehouse Staff #2</t>
        </is>
      </c>
      <c r="B25" s="31" t="n">
        <v>600</v>
      </c>
      <c r="C25" s="33" t="inlineStr">
        <is>
          <t>–</t>
        </is>
      </c>
      <c r="D25" s="33" t="inlineStr">
        <is>
          <t>–</t>
        </is>
      </c>
      <c r="E25" s="33" t="inlineStr">
        <is>
          <t>–</t>
        </is>
      </c>
      <c r="F25" s="33" t="inlineStr">
        <is>
          <t>–</t>
        </is>
      </c>
      <c r="G25" s="33" t="inlineStr">
        <is>
          <t>–</t>
        </is>
      </c>
      <c r="H25" s="33" t="inlineStr">
        <is>
          <t>–</t>
        </is>
      </c>
      <c r="I25" s="33" t="inlineStr">
        <is>
          <t>–</t>
        </is>
      </c>
      <c r="J25" s="31" t="n">
        <v>600</v>
      </c>
      <c r="K25" s="31" t="n">
        <v>600</v>
      </c>
      <c r="L25" s="31" t="n">
        <v>600</v>
      </c>
      <c r="M25" s="31" t="n">
        <v>600</v>
      </c>
      <c r="N25" s="31" t="n">
        <v>600</v>
      </c>
      <c r="O25" s="32" t="n">
        <v>3000</v>
      </c>
    </row>
    <row r="26">
      <c r="A26" s="25" t="inlineStr">
        <is>
          <t>TOTAL BASE SALARIES</t>
        </is>
      </c>
      <c r="B26" s="19" t="n"/>
      <c r="C26" s="34">
        <f>SUM(C5:C25)</f>
        <v/>
      </c>
      <c r="D26" s="34">
        <f>SUM(D5:D25)</f>
        <v/>
      </c>
      <c r="E26" s="34">
        <f>SUM(E5:E25)</f>
        <v/>
      </c>
      <c r="F26" s="34">
        <f>SUM(F5:F25)</f>
        <v/>
      </c>
      <c r="G26" s="34">
        <f>SUM(G5:G25)</f>
        <v/>
      </c>
      <c r="H26" s="34">
        <f>SUM(H5:H25)</f>
        <v/>
      </c>
      <c r="I26" s="34">
        <f>SUM(I5:I25)</f>
        <v/>
      </c>
      <c r="J26" s="34">
        <f>SUM(J5:J25)</f>
        <v/>
      </c>
      <c r="K26" s="34">
        <f>SUM(K5:K25)</f>
        <v/>
      </c>
      <c r="L26" s="34">
        <f>SUM(L5:L25)</f>
        <v/>
      </c>
      <c r="M26" s="34">
        <f>SUM(M5:M25)</f>
        <v/>
      </c>
      <c r="N26" s="34">
        <f>SUM(N5:N25)</f>
        <v/>
      </c>
      <c r="O26" s="34">
        <f>SUM(O5:O25)</f>
        <v/>
      </c>
    </row>
    <row r="27">
      <c r="A27" s="30" t="inlineStr">
        <is>
          <t>Social Insurance &amp; Benefits (15%)</t>
        </is>
      </c>
      <c r="B27" s="35" t="n"/>
      <c r="C27" s="31">
        <f>C26*0.15</f>
        <v/>
      </c>
      <c r="D27" s="31">
        <f>D26*0.15</f>
        <v/>
      </c>
      <c r="E27" s="31">
        <f>E26*0.15</f>
        <v/>
      </c>
      <c r="F27" s="31">
        <f>F26*0.15</f>
        <v/>
      </c>
      <c r="G27" s="31">
        <f>G26*0.15</f>
        <v/>
      </c>
      <c r="H27" s="31">
        <f>H26*0.15</f>
        <v/>
      </c>
      <c r="I27" s="31">
        <f>I26*0.15</f>
        <v/>
      </c>
      <c r="J27" s="31">
        <f>J26*0.15</f>
        <v/>
      </c>
      <c r="K27" s="31">
        <f>K26*0.15</f>
        <v/>
      </c>
      <c r="L27" s="31">
        <f>L26*0.15</f>
        <v/>
      </c>
      <c r="M27" s="31">
        <f>M26*0.15</f>
        <v/>
      </c>
      <c r="N27" s="31">
        <f>N26*0.15</f>
        <v/>
      </c>
      <c r="O27" s="32">
        <f>O26*0.15</f>
        <v/>
      </c>
    </row>
    <row r="28">
      <c r="A28" s="36" t="inlineStr">
        <is>
          <t>TOTAL PERSONNEL (base + benefits)</t>
        </is>
      </c>
      <c r="B28" s="37" t="n"/>
      <c r="C28" s="38">
        <f>C26*1.15</f>
        <v/>
      </c>
      <c r="D28" s="38">
        <f>D26*1.15</f>
        <v/>
      </c>
      <c r="E28" s="38">
        <f>E26*1.15</f>
        <v/>
      </c>
      <c r="F28" s="38">
        <f>F26*1.15</f>
        <v/>
      </c>
      <c r="G28" s="38">
        <f>G26*1.15</f>
        <v/>
      </c>
      <c r="H28" s="38">
        <f>H26*1.15</f>
        <v/>
      </c>
      <c r="I28" s="38">
        <f>I26*1.15</f>
        <v/>
      </c>
      <c r="J28" s="38">
        <f>J26*1.15</f>
        <v/>
      </c>
      <c r="K28" s="38">
        <f>K26*1.15</f>
        <v/>
      </c>
      <c r="L28" s="38">
        <f>L26*1.15</f>
        <v/>
      </c>
      <c r="M28" s="38">
        <f>M26*1.15</f>
        <v/>
      </c>
      <c r="N28" s="38">
        <f>N26*1.15</f>
        <v/>
      </c>
      <c r="O28" s="38">
        <f>O26*1.15</f>
        <v/>
      </c>
    </row>
    <row r="30">
      <c r="A30" s="27" t="inlineStr">
        <is>
          <t>Sales commissions (4% of Egypt sales) are variable pay on top — see Monthly P&amp;L. Headcount reaches 21 by Month 12.</t>
        </is>
      </c>
    </row>
    <row r="32">
      <c r="A32" s="39" t="inlineStr">
        <is>
          <t>YEAR 2 (Aug 2027 – Jul 2028) — 26 staff</t>
        </is>
      </c>
    </row>
    <row r="33" ht="24" customHeight="1">
      <c r="A33" s="40" t="inlineStr">
        <is>
          <t>Additions</t>
        </is>
      </c>
      <c r="B33" s="41" t="inlineStr">
        <is>
          <t>+ Administrative Asst #3, Logistics Coordinator, Sales Staff #5–6, Customer Service Manager, Technical Specialist, Driver #3</t>
        </is>
      </c>
    </row>
    <row r="34">
      <c r="A34" s="30" t="inlineStr">
        <is>
          <t>Total base salaries (annual)</t>
        </is>
      </c>
      <c r="B34" s="31" t="n">
        <v>435600</v>
      </c>
    </row>
    <row r="35">
      <c r="A35" s="30" t="inlineStr">
        <is>
          <t>Social insurance &amp; benefits (15%)</t>
        </is>
      </c>
      <c r="B35" s="31" t="n">
        <v>65340</v>
      </c>
    </row>
    <row r="36">
      <c r="A36" s="30" t="inlineStr">
        <is>
          <t>Personnel sub-total</t>
        </is>
      </c>
      <c r="B36" s="31" t="n">
        <v>500940</v>
      </c>
    </row>
    <row r="37">
      <c r="A37" s="30" t="inlineStr">
        <is>
          <t>Sales commissions (4% of Egypt sales USD 3,119,380)</t>
        </is>
      </c>
      <c r="B37" s="31" t="n">
        <v>124775</v>
      </c>
    </row>
    <row r="38">
      <c r="A38" s="42" t="inlineStr">
        <is>
          <t>TOTAL ANNUAL PERSONNEL COST</t>
        </is>
      </c>
      <c r="B38" s="34" t="n">
        <v>625715</v>
      </c>
    </row>
    <row r="40">
      <c r="A40" s="39" t="inlineStr">
        <is>
          <t>YEAR 3 (Aug 2028 – Jul 2029) — 35 staff</t>
        </is>
      </c>
    </row>
    <row r="41" ht="24" customHeight="1">
      <c r="A41" s="40" t="inlineStr">
        <is>
          <t>Additions</t>
        </is>
      </c>
      <c r="B41" s="41" t="inlineStr">
        <is>
          <t>+ Alexandria Branch (manager, 2 sales, admin), Finance Analyst, Supply Chain Analyst, Senior Sales Executive, Installation Engineers #1–2</t>
        </is>
      </c>
    </row>
    <row r="42">
      <c r="A42" s="30" t="inlineStr">
        <is>
          <t>Total base salaries (annual)</t>
        </is>
      </c>
      <c r="B42" s="31" t="n">
        <v>555600</v>
      </c>
    </row>
    <row r="43">
      <c r="A43" s="30" t="inlineStr">
        <is>
          <t>Social insurance &amp; benefits (15%)</t>
        </is>
      </c>
      <c r="B43" s="31" t="n">
        <v>83340</v>
      </c>
    </row>
    <row r="44">
      <c r="A44" s="30" t="inlineStr">
        <is>
          <t>Personnel sub-total</t>
        </is>
      </c>
      <c r="B44" s="31" t="n">
        <v>638940</v>
      </c>
    </row>
    <row r="45">
      <c r="A45" s="30" t="inlineStr">
        <is>
          <t>Sales commissions (4% of Egypt sales USD 3,743,256)</t>
        </is>
      </c>
      <c r="B45" s="31" t="n">
        <v>149730</v>
      </c>
    </row>
    <row r="46">
      <c r="A46" s="42" t="inlineStr">
        <is>
          <t>TOTAL ANNUAL PERSONNEL COST</t>
        </is>
      </c>
      <c r="B46" s="34" t="n">
        <v>788670</v>
      </c>
    </row>
    <row r="48">
      <c r="A48" s="39" t="inlineStr">
        <is>
          <t>YEAR 4 (Aug 2029 – Jul 2030) — 44 staff</t>
        </is>
      </c>
    </row>
    <row r="49" ht="24" customHeight="1">
      <c r="A49" s="40" t="inlineStr">
        <is>
          <t>Additions</t>
        </is>
      </c>
      <c r="B49" s="41" t="inlineStr">
        <is>
          <t>+ B2G/Tenders Manager, C&amp;I Sales Manager + 2 staff, Senior Accountant, IT/CRM Administrator, Warehouse Staff #3, Maintenance Technician, Sudan Market Coordinator</t>
        </is>
      </c>
    </row>
    <row r="50">
      <c r="A50" s="30" t="inlineStr">
        <is>
          <t>Total base salaries (annual)</t>
        </is>
      </c>
      <c r="B50" s="31" t="n">
        <v>690000</v>
      </c>
    </row>
    <row r="51">
      <c r="A51" s="30" t="inlineStr">
        <is>
          <t>Social insurance &amp; benefits (15%)</t>
        </is>
      </c>
      <c r="B51" s="31" t="n">
        <v>103500</v>
      </c>
    </row>
    <row r="52">
      <c r="A52" s="30" t="inlineStr">
        <is>
          <t>Personnel sub-total</t>
        </is>
      </c>
      <c r="B52" s="31" t="n">
        <v>793500</v>
      </c>
    </row>
    <row r="53">
      <c r="A53" s="30" t="inlineStr">
        <is>
          <t>Sales commissions (4% of Egypt sales USD 4,491,907)</t>
        </is>
      </c>
      <c r="B53" s="31" t="n">
        <v>179676</v>
      </c>
    </row>
    <row r="54">
      <c r="A54" s="42" t="inlineStr">
        <is>
          <t>TOTAL ANNUAL PERSONNEL COST</t>
        </is>
      </c>
      <c r="B54" s="34" t="n">
        <v>973176</v>
      </c>
    </row>
    <row r="56">
      <c r="A56" s="39" t="inlineStr">
        <is>
          <t>YEAR 5 (Aug 2030 – Jul 2031) — 55 staff (senior raises applied)</t>
        </is>
      </c>
    </row>
    <row r="57" ht="24" customHeight="1">
      <c r="A57" s="40" t="inlineStr">
        <is>
          <t>Additions</t>
        </is>
      </c>
      <c r="B57" s="41" t="inlineStr">
        <is>
          <t>+ Libya Market Manager, Senior Marketing Manager, Sales Supervisor, C&amp;I Sales #3–4, Field Engineers #3–4, Legal &amp; Compliance, CRM &amp; Digital Marketing Specialists, Driver #4</t>
        </is>
      </c>
    </row>
    <row r="58">
      <c r="A58" s="30" t="inlineStr">
        <is>
          <t>Total base salaries (annual)</t>
        </is>
      </c>
      <c r="B58" s="31" t="n">
        <v>942000</v>
      </c>
    </row>
    <row r="59">
      <c r="A59" s="30" t="inlineStr">
        <is>
          <t>Social insurance &amp; benefits (15%)</t>
        </is>
      </c>
      <c r="B59" s="31" t="n">
        <v>141300</v>
      </c>
    </row>
    <row r="60">
      <c r="A60" s="30" t="inlineStr">
        <is>
          <t>Personnel sub-total</t>
        </is>
      </c>
      <c r="B60" s="31" t="n">
        <v>1083300</v>
      </c>
    </row>
    <row r="61">
      <c r="A61" s="30" t="inlineStr">
        <is>
          <t>Sales commissions (4% of Egypt sales USD 5,390,288)</t>
        </is>
      </c>
      <c r="B61" s="31" t="n">
        <v>215612</v>
      </c>
    </row>
    <row r="62">
      <c r="A62" s="42" t="inlineStr">
        <is>
          <t>TOTAL ANNUAL PERSONNEL COST</t>
        </is>
      </c>
      <c r="B62" s="34" t="n">
        <v>1298912</v>
      </c>
    </row>
  </sheetData>
  <mergeCells count="11">
    <mergeCell ref="B41:O41"/>
    <mergeCell ref="B57:O57"/>
    <mergeCell ref="B49:O49"/>
    <mergeCell ref="A2:O2"/>
    <mergeCell ref="B33:O33"/>
    <mergeCell ref="A1:O1"/>
    <mergeCell ref="A32:O32"/>
    <mergeCell ref="A40:O40"/>
    <mergeCell ref="A56:O56"/>
    <mergeCell ref="A48:O48"/>
    <mergeCell ref="A30:O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</cols>
  <sheetData>
    <row r="1">
      <c r="A1" s="1" t="inlineStr">
        <is>
          <t>Monthly Profit &amp; Loss Statement — Year 1 (August 2026 – July 2027)</t>
        </is>
      </c>
    </row>
    <row r="2">
      <c r="A2" s="2" t="inlineStr">
        <is>
          <t>Vestwoods only | USD | Egypt product cost 79% of Egypt sales; export product cost 50% of export sales</t>
        </is>
      </c>
    </row>
    <row r="4">
      <c r="A4" s="43" t="inlineStr">
        <is>
          <t>DESCRIPTION</t>
        </is>
      </c>
      <c r="B4" s="44" t="inlineStr">
        <is>
          <t>Aug-26</t>
        </is>
      </c>
      <c r="C4" s="44" t="inlineStr">
        <is>
          <t>Sep-26</t>
        </is>
      </c>
      <c r="D4" s="44" t="inlineStr">
        <is>
          <t>Oct-26</t>
        </is>
      </c>
      <c r="E4" s="44" t="inlineStr">
        <is>
          <t>Nov-26</t>
        </is>
      </c>
      <c r="F4" s="44" t="inlineStr">
        <is>
          <t>Dec-26</t>
        </is>
      </c>
      <c r="G4" s="44" t="inlineStr">
        <is>
          <t>Jan-27</t>
        </is>
      </c>
      <c r="H4" s="44" t="inlineStr">
        <is>
          <t>Feb-27</t>
        </is>
      </c>
      <c r="I4" s="44" t="inlineStr">
        <is>
          <t>Mar-27</t>
        </is>
      </c>
      <c r="J4" s="44" t="inlineStr">
        <is>
          <t>Apr-27</t>
        </is>
      </c>
      <c r="K4" s="44" t="inlineStr">
        <is>
          <t>May-27</t>
        </is>
      </c>
      <c r="L4" s="44" t="inlineStr">
        <is>
          <t>Jun-27</t>
        </is>
      </c>
      <c r="M4" s="44" t="inlineStr">
        <is>
          <t>Jul-27</t>
        </is>
      </c>
      <c r="N4" s="44" t="inlineStr">
        <is>
          <t>TOTAL
Year 1</t>
        </is>
      </c>
    </row>
    <row r="5">
      <c r="A5" s="45" t="inlineStr">
        <is>
          <t>REVENUE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46" t="inlineStr">
        <is>
          <t>Egypt — Vestwoods (6 containers)</t>
        </is>
      </c>
      <c r="B6" s="47" t="n">
        <v>20000</v>
      </c>
      <c r="C6" s="47" t="n">
        <v>40000</v>
      </c>
      <c r="D6" s="47" t="n">
        <v>119483</v>
      </c>
      <c r="E6" s="47" t="n">
        <v>200000</v>
      </c>
      <c r="F6" s="47" t="n">
        <v>220000</v>
      </c>
      <c r="G6" s="47" t="n">
        <v>230000</v>
      </c>
      <c r="H6" s="47" t="n">
        <v>220000</v>
      </c>
      <c r="I6" s="47" t="n">
        <v>230000</v>
      </c>
      <c r="J6" s="47" t="n">
        <v>270000</v>
      </c>
      <c r="K6" s="47" t="n">
        <v>300000</v>
      </c>
      <c r="L6" s="47" t="n">
        <v>350000</v>
      </c>
      <c r="M6" s="47" t="n">
        <v>400000</v>
      </c>
      <c r="N6" s="48">
        <f>SUM(B6:M6)</f>
        <v/>
      </c>
    </row>
    <row r="7">
      <c r="A7" s="46" t="inlineStr">
        <is>
          <t>Sudan — Vestwoods (4 containers)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7" t="n">
        <v>393861</v>
      </c>
      <c r="H7" s="47" t="n">
        <v>0</v>
      </c>
      <c r="I7" s="47" t="n">
        <v>393861</v>
      </c>
      <c r="J7" s="47" t="n">
        <v>0</v>
      </c>
      <c r="K7" s="47" t="n">
        <v>393861</v>
      </c>
      <c r="L7" s="47" t="n">
        <v>0</v>
      </c>
      <c r="M7" s="47" t="n">
        <v>393861</v>
      </c>
      <c r="N7" s="48">
        <f>SUM(B7:M7)</f>
        <v/>
      </c>
    </row>
    <row r="8">
      <c r="A8" s="46" t="inlineStr">
        <is>
          <t>Algeria — Vestwoods, 100% LC (3 containers)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0</v>
      </c>
      <c r="H8" s="47" t="n">
        <v>0</v>
      </c>
      <c r="I8" s="47" t="n">
        <v>393861</v>
      </c>
      <c r="J8" s="47" t="n">
        <v>0</v>
      </c>
      <c r="K8" s="47" t="n">
        <v>393861</v>
      </c>
      <c r="L8" s="47" t="n">
        <v>0</v>
      </c>
      <c r="M8" s="47" t="n">
        <v>393861</v>
      </c>
      <c r="N8" s="48">
        <f>SUM(B8:M8)</f>
        <v/>
      </c>
    </row>
    <row r="9">
      <c r="A9" s="49" t="inlineStr">
        <is>
          <t>TOTAL REVENUE</t>
        </is>
      </c>
      <c r="B9" s="48" t="n">
        <v>20000</v>
      </c>
      <c r="C9" s="48" t="n">
        <v>40000</v>
      </c>
      <c r="D9" s="48" t="n">
        <v>119483</v>
      </c>
      <c r="E9" s="48" t="n">
        <v>200000</v>
      </c>
      <c r="F9" s="48" t="n">
        <v>220000</v>
      </c>
      <c r="G9" s="48" t="n">
        <v>623861</v>
      </c>
      <c r="H9" s="48" t="n">
        <v>220000</v>
      </c>
      <c r="I9" s="48" t="n">
        <v>1017722</v>
      </c>
      <c r="J9" s="48" t="n">
        <v>270000</v>
      </c>
      <c r="K9" s="48" t="n">
        <v>1087722</v>
      </c>
      <c r="L9" s="48" t="n">
        <v>350000</v>
      </c>
      <c r="M9" s="48" t="n">
        <v>1187722</v>
      </c>
      <c r="N9" s="48">
        <f>SUM(B9:M9)</f>
        <v/>
      </c>
    </row>
    <row r="10">
      <c r="A10" s="45" t="inlineStr">
        <is>
          <t>COST OF GOODS SOLD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6" t="inlineStr">
        <is>
          <t>Egypt product cost (79% of Egypt sales)</t>
        </is>
      </c>
      <c r="B11" s="47" t="n">
        <v>15800</v>
      </c>
      <c r="C11" s="47" t="n">
        <v>31600</v>
      </c>
      <c r="D11" s="47" t="n">
        <v>94391.60000000001</v>
      </c>
      <c r="E11" s="47" t="n">
        <v>158000</v>
      </c>
      <c r="F11" s="47" t="n">
        <v>173800</v>
      </c>
      <c r="G11" s="47" t="n">
        <v>181700</v>
      </c>
      <c r="H11" s="47" t="n">
        <v>173800</v>
      </c>
      <c r="I11" s="47" t="n">
        <v>181700</v>
      </c>
      <c r="J11" s="47" t="n">
        <v>213300</v>
      </c>
      <c r="K11" s="47" t="n">
        <v>237000</v>
      </c>
      <c r="L11" s="47" t="n">
        <v>276500</v>
      </c>
      <c r="M11" s="47" t="n">
        <v>316000</v>
      </c>
      <c r="N11" s="48">
        <f>SUM(B11:M11)</f>
        <v/>
      </c>
    </row>
    <row r="12">
      <c r="A12" s="46" t="inlineStr">
        <is>
          <t>Sudan product cost (50% of Sudan sales)</t>
        </is>
      </c>
      <c r="B12" s="47" t="n">
        <v>0</v>
      </c>
      <c r="C12" s="47" t="n">
        <v>0</v>
      </c>
      <c r="D12" s="47" t="n">
        <v>0</v>
      </c>
      <c r="E12" s="47" t="n">
        <v>0</v>
      </c>
      <c r="F12" s="47" t="n">
        <v>0</v>
      </c>
      <c r="G12" s="47" t="n">
        <v>196930.5</v>
      </c>
      <c r="H12" s="47" t="n">
        <v>0</v>
      </c>
      <c r="I12" s="47" t="n">
        <v>196930.5</v>
      </c>
      <c r="J12" s="47" t="n">
        <v>0</v>
      </c>
      <c r="K12" s="47" t="n">
        <v>196930.5</v>
      </c>
      <c r="L12" s="47" t="n">
        <v>0</v>
      </c>
      <c r="M12" s="47" t="n">
        <v>196930.5</v>
      </c>
      <c r="N12" s="48">
        <f>SUM(B12:M12)</f>
        <v/>
      </c>
    </row>
    <row r="13">
      <c r="A13" s="46" t="inlineStr">
        <is>
          <t>Algeria product cost (50% of Algeria sales)</t>
        </is>
      </c>
      <c r="B13" s="47" t="n">
        <v>0</v>
      </c>
      <c r="C13" s="47" t="n">
        <v>0</v>
      </c>
      <c r="D13" s="47" t="n">
        <v>0</v>
      </c>
      <c r="E13" s="47" t="n">
        <v>0</v>
      </c>
      <c r="F13" s="47" t="n">
        <v>0</v>
      </c>
      <c r="G13" s="47" t="n">
        <v>0</v>
      </c>
      <c r="H13" s="47" t="n">
        <v>0</v>
      </c>
      <c r="I13" s="47" t="n">
        <v>196930.5</v>
      </c>
      <c r="J13" s="47" t="n">
        <v>0</v>
      </c>
      <c r="K13" s="47" t="n">
        <v>196930.5</v>
      </c>
      <c r="L13" s="47" t="n">
        <v>0</v>
      </c>
      <c r="M13" s="47" t="n">
        <v>196930.5</v>
      </c>
      <c r="N13" s="48">
        <f>SUM(B13:M13)</f>
        <v/>
      </c>
    </row>
    <row r="14">
      <c r="A14" s="49" t="inlineStr">
        <is>
          <t>TOTAL COGS</t>
        </is>
      </c>
      <c r="B14" s="48" t="n">
        <v>15800</v>
      </c>
      <c r="C14" s="48" t="n">
        <v>31600</v>
      </c>
      <c r="D14" s="48" t="n">
        <v>94391.60000000001</v>
      </c>
      <c r="E14" s="48" t="n">
        <v>158000</v>
      </c>
      <c r="F14" s="48" t="n">
        <v>173800</v>
      </c>
      <c r="G14" s="48" t="n">
        <v>378630.5</v>
      </c>
      <c r="H14" s="48" t="n">
        <v>173800</v>
      </c>
      <c r="I14" s="48" t="n">
        <v>575561</v>
      </c>
      <c r="J14" s="48" t="n">
        <v>213300</v>
      </c>
      <c r="K14" s="48" t="n">
        <v>630861</v>
      </c>
      <c r="L14" s="48" t="n">
        <v>276500</v>
      </c>
      <c r="M14" s="48" t="n">
        <v>709861</v>
      </c>
      <c r="N14" s="48">
        <f>SUM(B14:M14)</f>
        <v/>
      </c>
    </row>
    <row r="15">
      <c r="A15" s="50" t="inlineStr">
        <is>
          <t>GROSS PROFIT</t>
        </is>
      </c>
      <c r="B15" s="51" t="n">
        <v>4200</v>
      </c>
      <c r="C15" s="51" t="n">
        <v>8400</v>
      </c>
      <c r="D15" s="51" t="n">
        <v>25091.4</v>
      </c>
      <c r="E15" s="51" t="n">
        <v>42000</v>
      </c>
      <c r="F15" s="51" t="n">
        <v>46200</v>
      </c>
      <c r="G15" s="51" t="n">
        <v>245230.5</v>
      </c>
      <c r="H15" s="51" t="n">
        <v>46200</v>
      </c>
      <c r="I15" s="51" t="n">
        <v>442161</v>
      </c>
      <c r="J15" s="51" t="n">
        <v>56700</v>
      </c>
      <c r="K15" s="51" t="n">
        <v>456861</v>
      </c>
      <c r="L15" s="51" t="n">
        <v>73500</v>
      </c>
      <c r="M15" s="51" t="n">
        <v>477861</v>
      </c>
      <c r="N15" s="51">
        <f>SUM(B15:M15)</f>
        <v/>
      </c>
    </row>
    <row r="16">
      <c r="A16" s="45" t="inlineStr">
        <is>
          <t>OPERATING EXPENSES — PERSONNEL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6" t="inlineStr">
        <is>
          <t>Total base salaries (Staff Plan roster)</t>
        </is>
      </c>
      <c r="B17" s="47" t="n">
        <v>18800</v>
      </c>
      <c r="C17" s="47" t="n">
        <v>23400</v>
      </c>
      <c r="D17" s="47" t="n">
        <v>26500</v>
      </c>
      <c r="E17" s="47" t="n">
        <v>28200</v>
      </c>
      <c r="F17" s="47" t="n">
        <v>28200</v>
      </c>
      <c r="G17" s="47" t="n">
        <v>29400</v>
      </c>
      <c r="H17" s="47" t="n">
        <v>29400</v>
      </c>
      <c r="I17" s="47" t="n">
        <v>31400</v>
      </c>
      <c r="J17" s="47" t="n">
        <v>31400</v>
      </c>
      <c r="K17" s="47" t="n">
        <v>31400</v>
      </c>
      <c r="L17" s="47" t="n">
        <v>31400</v>
      </c>
      <c r="M17" s="47" t="n">
        <v>31400</v>
      </c>
      <c r="N17" s="48">
        <f>SUM(B17:M17)</f>
        <v/>
      </c>
    </row>
    <row r="18">
      <c r="A18" s="46" t="inlineStr">
        <is>
          <t>Social insurance &amp; benefits (15%)</t>
        </is>
      </c>
      <c r="B18" s="47" t="n">
        <v>2820</v>
      </c>
      <c r="C18" s="47" t="n">
        <v>3510</v>
      </c>
      <c r="D18" s="47" t="n">
        <v>3975</v>
      </c>
      <c r="E18" s="47" t="n">
        <v>4230</v>
      </c>
      <c r="F18" s="47" t="n">
        <v>4230</v>
      </c>
      <c r="G18" s="47" t="n">
        <v>4410</v>
      </c>
      <c r="H18" s="47" t="n">
        <v>4410</v>
      </c>
      <c r="I18" s="47" t="n">
        <v>4710</v>
      </c>
      <c r="J18" s="47" t="n">
        <v>4710</v>
      </c>
      <c r="K18" s="47" t="n">
        <v>4710</v>
      </c>
      <c r="L18" s="47" t="n">
        <v>4710</v>
      </c>
      <c r="M18" s="47" t="n">
        <v>4710</v>
      </c>
      <c r="N18" s="48">
        <f>SUM(B18:M18)</f>
        <v/>
      </c>
    </row>
    <row r="19">
      <c r="A19" s="46" t="inlineStr">
        <is>
          <t>Sales commissions (4% of Egypt sales)</t>
        </is>
      </c>
      <c r="B19" s="47" t="n">
        <v>800</v>
      </c>
      <c r="C19" s="47" t="n">
        <v>1600</v>
      </c>
      <c r="D19" s="47" t="n">
        <v>4779.3</v>
      </c>
      <c r="E19" s="47" t="n">
        <v>8000</v>
      </c>
      <c r="F19" s="47" t="n">
        <v>8800</v>
      </c>
      <c r="G19" s="47" t="n">
        <v>9200</v>
      </c>
      <c r="H19" s="47" t="n">
        <v>8800</v>
      </c>
      <c r="I19" s="47" t="n">
        <v>9200</v>
      </c>
      <c r="J19" s="47" t="n">
        <v>10800</v>
      </c>
      <c r="K19" s="47" t="n">
        <v>12000</v>
      </c>
      <c r="L19" s="47" t="n">
        <v>14000</v>
      </c>
      <c r="M19" s="47" t="n">
        <v>16000</v>
      </c>
      <c r="N19" s="48">
        <f>SUM(B19:M19)</f>
        <v/>
      </c>
    </row>
    <row r="20">
      <c r="A20" s="49" t="inlineStr">
        <is>
          <t>TOTAL PERSONNEL</t>
        </is>
      </c>
      <c r="B20" s="48" t="n">
        <v>22420</v>
      </c>
      <c r="C20" s="48" t="n">
        <v>28510</v>
      </c>
      <c r="D20" s="48" t="n">
        <v>35254.3</v>
      </c>
      <c r="E20" s="48" t="n">
        <v>40430</v>
      </c>
      <c r="F20" s="48" t="n">
        <v>41230</v>
      </c>
      <c r="G20" s="48" t="n">
        <v>43010</v>
      </c>
      <c r="H20" s="48" t="n">
        <v>42610</v>
      </c>
      <c r="I20" s="48" t="n">
        <v>45310</v>
      </c>
      <c r="J20" s="48" t="n">
        <v>46910</v>
      </c>
      <c r="K20" s="48" t="n">
        <v>48110</v>
      </c>
      <c r="L20" s="48" t="n">
        <v>50110</v>
      </c>
      <c r="M20" s="48" t="n">
        <v>52110</v>
      </c>
      <c r="N20" s="48">
        <f>SUM(B20:M20)</f>
        <v/>
      </c>
    </row>
    <row r="21">
      <c r="A21" s="45" t="inlineStr">
        <is>
          <t>OPERATING EXPENSES — FACILITIES, OPS, MARKETING, G&amp;A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46" t="inlineStr">
        <is>
          <t>Showroom #1 — 6th October City (existing)</t>
        </is>
      </c>
      <c r="B22" s="47" t="n">
        <v>200</v>
      </c>
      <c r="C22" s="47" t="n">
        <v>200</v>
      </c>
      <c r="D22" s="47" t="n">
        <v>200</v>
      </c>
      <c r="E22" s="47" t="n">
        <v>200</v>
      </c>
      <c r="F22" s="47" t="n">
        <v>200</v>
      </c>
      <c r="G22" s="47" t="n">
        <v>200</v>
      </c>
      <c r="H22" s="47" t="n">
        <v>200</v>
      </c>
      <c r="I22" s="47" t="n">
        <v>200</v>
      </c>
      <c r="J22" s="47" t="n">
        <v>200</v>
      </c>
      <c r="K22" s="47" t="n">
        <v>200</v>
      </c>
      <c r="L22" s="47" t="n">
        <v>200</v>
      </c>
      <c r="M22" s="47" t="n">
        <v>200</v>
      </c>
      <c r="N22" s="48">
        <f>SUM(B22:M22)</f>
        <v/>
      </c>
    </row>
    <row r="23">
      <c r="A23" s="46" t="inlineStr">
        <is>
          <t>Showroom #2 — New Cairo ~100 sqm (opens Month 1)</t>
        </is>
      </c>
      <c r="B23" s="47" t="n">
        <v>2500</v>
      </c>
      <c r="C23" s="47" t="n">
        <v>2500</v>
      </c>
      <c r="D23" s="47" t="n">
        <v>2500</v>
      </c>
      <c r="E23" s="47" t="n">
        <v>2500</v>
      </c>
      <c r="F23" s="47" t="n">
        <v>2500</v>
      </c>
      <c r="G23" s="47" t="n">
        <v>2500</v>
      </c>
      <c r="H23" s="47" t="n">
        <v>2500</v>
      </c>
      <c r="I23" s="47" t="n">
        <v>2500</v>
      </c>
      <c r="J23" s="47" t="n">
        <v>2500</v>
      </c>
      <c r="K23" s="47" t="n">
        <v>2500</v>
      </c>
      <c r="L23" s="47" t="n">
        <v>2500</v>
      </c>
      <c r="M23" s="47" t="n">
        <v>2500</v>
      </c>
      <c r="N23" s="48">
        <f>SUM(B23:M23)</f>
        <v/>
      </c>
    </row>
    <row r="24">
      <c r="A24" s="46" t="inlineStr">
        <is>
          <t>Office — New Cairo 100 sqm furnished</t>
        </is>
      </c>
      <c r="B24" s="47" t="n">
        <v>6000</v>
      </c>
      <c r="C24" s="47" t="n">
        <v>3000</v>
      </c>
      <c r="D24" s="47" t="n">
        <v>3000</v>
      </c>
      <c r="E24" s="47" t="n">
        <v>3000</v>
      </c>
      <c r="F24" s="47" t="n">
        <v>3000</v>
      </c>
      <c r="G24" s="47" t="n">
        <v>3000</v>
      </c>
      <c r="H24" s="47" t="n">
        <v>3000</v>
      </c>
      <c r="I24" s="47" t="n">
        <v>3000</v>
      </c>
      <c r="J24" s="47" t="n">
        <v>3000</v>
      </c>
      <c r="K24" s="47" t="n">
        <v>3000</v>
      </c>
      <c r="L24" s="47" t="n">
        <v>3000</v>
      </c>
      <c r="M24" s="47" t="n">
        <v>3000</v>
      </c>
      <c r="N24" s="48">
        <f>SUM(B24:M24)</f>
        <v/>
      </c>
    </row>
    <row r="25">
      <c r="A25" s="46" t="inlineStr">
        <is>
          <t>Warehouse — 6th Oct / Sheikh Zayed / New Cairo</t>
        </is>
      </c>
      <c r="B25" s="47" t="n">
        <v>3000</v>
      </c>
      <c r="C25" s="47" t="n">
        <v>3000</v>
      </c>
      <c r="D25" s="47" t="n">
        <v>3000</v>
      </c>
      <c r="E25" s="47" t="n">
        <v>3000</v>
      </c>
      <c r="F25" s="47" t="n">
        <v>3000</v>
      </c>
      <c r="G25" s="47" t="n">
        <v>3000</v>
      </c>
      <c r="H25" s="47" t="n">
        <v>3000</v>
      </c>
      <c r="I25" s="47" t="n">
        <v>3000</v>
      </c>
      <c r="J25" s="47" t="n">
        <v>3000</v>
      </c>
      <c r="K25" s="47" t="n">
        <v>3000</v>
      </c>
      <c r="L25" s="47" t="n">
        <v>3000</v>
      </c>
      <c r="M25" s="47" t="n">
        <v>3000</v>
      </c>
      <c r="N25" s="48">
        <f>SUM(B25:M25)</f>
        <v/>
      </c>
    </row>
    <row r="26">
      <c r="A26" s="46" t="inlineStr">
        <is>
          <t>Utilities</t>
        </is>
      </c>
      <c r="B26" s="47" t="n">
        <v>400</v>
      </c>
      <c r="C26" s="47" t="n">
        <v>400</v>
      </c>
      <c r="D26" s="47" t="n">
        <v>700</v>
      </c>
      <c r="E26" s="47" t="n">
        <v>700</v>
      </c>
      <c r="F26" s="47" t="n">
        <v>700</v>
      </c>
      <c r="G26" s="47" t="n">
        <v>700</v>
      </c>
      <c r="H26" s="47" t="n">
        <v>700</v>
      </c>
      <c r="I26" s="47" t="n">
        <v>700</v>
      </c>
      <c r="J26" s="47" t="n">
        <v>700</v>
      </c>
      <c r="K26" s="47" t="n">
        <v>700</v>
      </c>
      <c r="L26" s="47" t="n">
        <v>700</v>
      </c>
      <c r="M26" s="47" t="n">
        <v>700</v>
      </c>
      <c r="N26" s="48">
        <f>SUM(B26:M26)</f>
        <v/>
      </c>
    </row>
    <row r="27">
      <c r="A27" s="46" t="inlineStr">
        <is>
          <t>Vehicles &amp; fuel</t>
        </is>
      </c>
      <c r="B27" s="47" t="n">
        <v>800</v>
      </c>
      <c r="C27" s="47" t="n">
        <v>800</v>
      </c>
      <c r="D27" s="47" t="n">
        <v>800</v>
      </c>
      <c r="E27" s="47" t="n">
        <v>1500</v>
      </c>
      <c r="F27" s="47" t="n">
        <v>1500</v>
      </c>
      <c r="G27" s="47" t="n">
        <v>1500</v>
      </c>
      <c r="H27" s="47" t="n">
        <v>1500</v>
      </c>
      <c r="I27" s="47" t="n">
        <v>1500</v>
      </c>
      <c r="J27" s="47" t="n">
        <v>1500</v>
      </c>
      <c r="K27" s="47" t="n">
        <v>1500</v>
      </c>
      <c r="L27" s="47" t="n">
        <v>1500</v>
      </c>
      <c r="M27" s="47" t="n">
        <v>1500</v>
      </c>
      <c r="N27" s="48">
        <f>SUM(B27:M27)</f>
        <v/>
      </c>
    </row>
    <row r="28">
      <c r="A28" s="46" t="inlineStr">
        <is>
          <t>Marketing &amp; promotions (incl. exhibitions M3)</t>
        </is>
      </c>
      <c r="B28" s="47" t="n">
        <v>7000</v>
      </c>
      <c r="C28" s="47" t="n">
        <v>6300</v>
      </c>
      <c r="D28" s="47" t="n">
        <v>12000</v>
      </c>
      <c r="E28" s="47" t="n">
        <v>5000</v>
      </c>
      <c r="F28" s="47" t="n">
        <v>4400</v>
      </c>
      <c r="G28" s="47" t="n">
        <v>3900</v>
      </c>
      <c r="H28" s="47" t="n">
        <v>3900</v>
      </c>
      <c r="I28" s="47" t="n">
        <v>3900</v>
      </c>
      <c r="J28" s="47" t="n">
        <v>3300</v>
      </c>
      <c r="K28" s="47" t="n">
        <v>3300</v>
      </c>
      <c r="L28" s="47" t="n">
        <v>3300</v>
      </c>
      <c r="M28" s="47" t="n">
        <v>3300</v>
      </c>
      <c r="N28" s="48">
        <f>SUM(B28:M28)</f>
        <v/>
      </c>
    </row>
    <row r="29">
      <c r="A29" s="46" t="inlineStr">
        <is>
          <t>General &amp; administrative</t>
        </is>
      </c>
      <c r="B29" s="47" t="n">
        <v>10700</v>
      </c>
      <c r="C29" s="47" t="n">
        <v>6900</v>
      </c>
      <c r="D29" s="47" t="n">
        <v>6900</v>
      </c>
      <c r="E29" s="47" t="n">
        <v>3900</v>
      </c>
      <c r="F29" s="47" t="n">
        <v>3900</v>
      </c>
      <c r="G29" s="47" t="n">
        <v>3700</v>
      </c>
      <c r="H29" s="47" t="n">
        <v>3500</v>
      </c>
      <c r="I29" s="47" t="n">
        <v>3500</v>
      </c>
      <c r="J29" s="47" t="n">
        <v>3500</v>
      </c>
      <c r="K29" s="47" t="n">
        <v>3500</v>
      </c>
      <c r="L29" s="47" t="n">
        <v>3500</v>
      </c>
      <c r="M29" s="47" t="n">
        <v>3500</v>
      </c>
      <c r="N29" s="48">
        <f>SUM(B29:M29)</f>
        <v/>
      </c>
    </row>
    <row r="30">
      <c r="A30" s="46" t="inlineStr">
        <is>
          <t>Depreciation &amp; amortisation (fit-out, 3-yr)</t>
        </is>
      </c>
      <c r="B30" s="47" t="n">
        <v>1400</v>
      </c>
      <c r="C30" s="47" t="n">
        <v>1400</v>
      </c>
      <c r="D30" s="47" t="n">
        <v>1400</v>
      </c>
      <c r="E30" s="47" t="n">
        <v>1400</v>
      </c>
      <c r="F30" s="47" t="n">
        <v>1400</v>
      </c>
      <c r="G30" s="47" t="n">
        <v>1400</v>
      </c>
      <c r="H30" s="47" t="n">
        <v>1400</v>
      </c>
      <c r="I30" s="47" t="n">
        <v>1400</v>
      </c>
      <c r="J30" s="47" t="n">
        <v>1400</v>
      </c>
      <c r="K30" s="47" t="n">
        <v>1400</v>
      </c>
      <c r="L30" s="47" t="n">
        <v>1400</v>
      </c>
      <c r="M30" s="47" t="n">
        <v>1400</v>
      </c>
      <c r="N30" s="48">
        <f>SUM(B30:M30)</f>
        <v/>
      </c>
    </row>
    <row r="31">
      <c r="A31" s="49" t="inlineStr">
        <is>
          <t>TOTAL OPERATING EXPENSES</t>
        </is>
      </c>
      <c r="B31" s="48" t="n">
        <v>54420</v>
      </c>
      <c r="C31" s="48" t="n">
        <v>53010</v>
      </c>
      <c r="D31" s="48" t="n">
        <v>65754.3</v>
      </c>
      <c r="E31" s="48" t="n">
        <v>61630</v>
      </c>
      <c r="F31" s="48" t="n">
        <v>61830</v>
      </c>
      <c r="G31" s="48" t="n">
        <v>62910</v>
      </c>
      <c r="H31" s="48" t="n">
        <v>62310</v>
      </c>
      <c r="I31" s="48" t="n">
        <v>65010</v>
      </c>
      <c r="J31" s="48" t="n">
        <v>66010</v>
      </c>
      <c r="K31" s="48" t="n">
        <v>67210</v>
      </c>
      <c r="L31" s="48" t="n">
        <v>69210</v>
      </c>
      <c r="M31" s="48" t="n">
        <v>71210</v>
      </c>
      <c r="N31" s="48">
        <f>SUM(B31:M31)</f>
        <v/>
      </c>
    </row>
    <row r="32">
      <c r="A32" s="52" t="inlineStr">
        <is>
          <t>EBIT (OPERATING PROFIT)</t>
        </is>
      </c>
      <c r="B32" s="53" t="n">
        <v>-50220</v>
      </c>
      <c r="C32" s="53" t="n">
        <v>-44610</v>
      </c>
      <c r="D32" s="53" t="n">
        <v>-40662.9</v>
      </c>
      <c r="E32" s="53" t="n">
        <v>-19630</v>
      </c>
      <c r="F32" s="53" t="n">
        <v>-15630</v>
      </c>
      <c r="G32" s="53" t="n">
        <v>182320.5</v>
      </c>
      <c r="H32" s="53" t="n">
        <v>-16110</v>
      </c>
      <c r="I32" s="53" t="n">
        <v>377151</v>
      </c>
      <c r="J32" s="53" t="n">
        <v>-9310</v>
      </c>
      <c r="K32" s="53" t="n">
        <v>389651</v>
      </c>
      <c r="L32" s="53" t="n">
        <v>4290</v>
      </c>
      <c r="M32" s="53" t="n">
        <v>406651</v>
      </c>
      <c r="N32" s="48">
        <f>SUM(B32:M32)</f>
        <v/>
      </c>
    </row>
    <row r="33">
      <c r="A33" s="46" t="inlineStr">
        <is>
          <t>Interest on trade finance (est.)</t>
        </is>
      </c>
      <c r="B33" s="47" t="n">
        <v>0</v>
      </c>
      <c r="C33" s="47" t="n">
        <v>500</v>
      </c>
      <c r="D33" s="47" t="n">
        <v>500</v>
      </c>
      <c r="E33" s="47" t="n">
        <v>500</v>
      </c>
      <c r="F33" s="47" t="n">
        <v>500</v>
      </c>
      <c r="G33" s="47" t="n">
        <v>500</v>
      </c>
      <c r="H33" s="47" t="n">
        <v>500</v>
      </c>
      <c r="I33" s="47" t="n">
        <v>500</v>
      </c>
      <c r="J33" s="47" t="n">
        <v>500</v>
      </c>
      <c r="K33" s="47" t="n">
        <v>500</v>
      </c>
      <c r="L33" s="47" t="n">
        <v>500</v>
      </c>
      <c r="M33" s="47" t="n">
        <v>500</v>
      </c>
      <c r="N33" s="48">
        <f>SUM(B33:M33)</f>
        <v/>
      </c>
    </row>
    <row r="34">
      <c r="A34" s="52" t="inlineStr">
        <is>
          <t>EARNINGS BEFORE TAX</t>
        </is>
      </c>
      <c r="B34" s="53" t="n">
        <v>-50220</v>
      </c>
      <c r="C34" s="53" t="n">
        <v>-45110</v>
      </c>
      <c r="D34" s="53" t="n">
        <v>-41162.9</v>
      </c>
      <c r="E34" s="53" t="n">
        <v>-20130</v>
      </c>
      <c r="F34" s="53" t="n">
        <v>-16130</v>
      </c>
      <c r="G34" s="53" t="n">
        <v>181820.5</v>
      </c>
      <c r="H34" s="53" t="n">
        <v>-16610</v>
      </c>
      <c r="I34" s="53" t="n">
        <v>376651</v>
      </c>
      <c r="J34" s="53" t="n">
        <v>-9810</v>
      </c>
      <c r="K34" s="53" t="n">
        <v>389151</v>
      </c>
      <c r="L34" s="53" t="n">
        <v>3790</v>
      </c>
      <c r="M34" s="53" t="n">
        <v>406151</v>
      </c>
      <c r="N34" s="48">
        <f>SUM(B34:M34)</f>
        <v/>
      </c>
    </row>
    <row r="35">
      <c r="A35" s="46" t="inlineStr">
        <is>
          <t>Corporate tax (22.5%, loss carry-forward)</t>
        </is>
      </c>
      <c r="B35" s="47" t="n">
        <v>0</v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2040.2</v>
      </c>
      <c r="H35" s="47" t="n">
        <v>0</v>
      </c>
      <c r="I35" s="47" t="n">
        <v>81009.2</v>
      </c>
      <c r="J35" s="47" t="n">
        <v>0</v>
      </c>
      <c r="K35" s="47" t="n">
        <v>85351.8</v>
      </c>
      <c r="L35" s="47" t="n">
        <v>852.7</v>
      </c>
      <c r="M35" s="47" t="n">
        <v>91384</v>
      </c>
      <c r="N35" s="48">
        <f>SUM(B35:M35)</f>
        <v/>
      </c>
    </row>
    <row r="36">
      <c r="A36" s="50" t="inlineStr">
        <is>
          <t>NET PROFIT / (LOSS)</t>
        </is>
      </c>
      <c r="B36" s="51" t="n">
        <v>-50220</v>
      </c>
      <c r="C36" s="51" t="n">
        <v>-45110</v>
      </c>
      <c r="D36" s="51" t="n">
        <v>-41162.9</v>
      </c>
      <c r="E36" s="51" t="n">
        <v>-20130</v>
      </c>
      <c r="F36" s="51" t="n">
        <v>-16130</v>
      </c>
      <c r="G36" s="51" t="n">
        <v>179780.3</v>
      </c>
      <c r="H36" s="51" t="n">
        <v>-16610</v>
      </c>
      <c r="I36" s="51" t="n">
        <v>295641.8</v>
      </c>
      <c r="J36" s="51" t="n">
        <v>-9810</v>
      </c>
      <c r="K36" s="51" t="n">
        <v>303799.2</v>
      </c>
      <c r="L36" s="51" t="n">
        <v>2937.3</v>
      </c>
      <c r="M36" s="51" t="n">
        <v>314767</v>
      </c>
      <c r="N36" s="51">
        <f>SUM(B36:M36)</f>
        <v/>
      </c>
    </row>
    <row r="37">
      <c r="A37" s="46" t="inlineStr">
        <is>
          <t>Cumulative profit / (loss)</t>
        </is>
      </c>
      <c r="B37" s="47" t="n">
        <v>-50220</v>
      </c>
      <c r="C37" s="47" t="n">
        <v>-95330</v>
      </c>
      <c r="D37" s="47" t="n">
        <v>-136492.9</v>
      </c>
      <c r="E37" s="47" t="n">
        <v>-156622.9</v>
      </c>
      <c r="F37" s="47" t="n">
        <v>-172752.9</v>
      </c>
      <c r="G37" s="47" t="n">
        <v>7027.4</v>
      </c>
      <c r="H37" s="47" t="n">
        <v>-9582.6</v>
      </c>
      <c r="I37" s="47" t="n">
        <v>286059.2</v>
      </c>
      <c r="J37" s="47" t="n">
        <v>276249.2</v>
      </c>
      <c r="K37" s="47" t="n">
        <v>580048.4</v>
      </c>
      <c r="L37" s="47" t="n">
        <v>582985.7</v>
      </c>
      <c r="M37" s="47" t="n">
        <v>897752.7</v>
      </c>
      <c r="N37" s="48" t="n">
        <v>897752.7</v>
      </c>
    </row>
    <row r="39">
      <c r="A39" s="54" t="inlineStr">
        <is>
          <t>Operating &amp; cumulative break-even both in Month 6 (Jan-27). Egypt Y1: 6 containers | Sudan: 4 | Algeria: 3 (LC).</t>
        </is>
      </c>
    </row>
  </sheetData>
  <mergeCells count="3">
    <mergeCell ref="A2:N2"/>
    <mergeCell ref="A39:N39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5-Year Annual P&amp;L Summary (USD)</t>
        </is>
      </c>
    </row>
    <row r="2">
      <c r="A2" s="2" t="inlineStr">
        <is>
          <t>Vestwoods: Egypt 6/7/9/11/15 · Sudan 4/5/6/8/10 · Algeria 3/4/6/7/8 · Libya 0/4/5/6/8</t>
        </is>
      </c>
    </row>
    <row r="4">
      <c r="A4" s="12" t="inlineStr">
        <is>
          <t>DESCRIPTION</t>
        </is>
      </c>
      <c r="B4" s="13" t="inlineStr">
        <is>
          <t>Year 1
(Aug26-Jul27)</t>
        </is>
      </c>
      <c r="C4" s="13" t="inlineStr">
        <is>
          <t>Year 2
(Aug27-Jul28)</t>
        </is>
      </c>
      <c r="D4" s="13" t="inlineStr">
        <is>
          <t>Year 3
(Aug28-Jul29)</t>
        </is>
      </c>
      <c r="E4" s="13" t="inlineStr">
        <is>
          <t>Year 4
(Aug29-Jul30)</t>
        </is>
      </c>
      <c r="F4" s="13" t="inlineStr">
        <is>
          <t>Year 5
(Aug30-Jul31)</t>
        </is>
      </c>
      <c r="G4" s="13" t="inlineStr">
        <is>
          <t>5-YEAR
TOTAL</t>
        </is>
      </c>
    </row>
    <row r="5">
      <c r="A5" s="55" t="inlineStr">
        <is>
          <t>REVENUE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Egypt — Vestwoods</t>
        </is>
      </c>
      <c r="B6" s="56" t="n">
        <v>2599483</v>
      </c>
      <c r="C6" s="56" t="n">
        <v>3119380</v>
      </c>
      <c r="D6" s="56" t="n">
        <v>3743256</v>
      </c>
      <c r="E6" s="56" t="n">
        <v>4491907</v>
      </c>
      <c r="F6" s="56" t="n">
        <v>5390288</v>
      </c>
      <c r="G6" s="57">
        <f>SUM(B6:F6)</f>
        <v/>
      </c>
    </row>
    <row r="7">
      <c r="A7" s="9" t="inlineStr">
        <is>
          <t>Sudan — Vestwoods</t>
        </is>
      </c>
      <c r="B7" s="56" t="n">
        <v>1575444</v>
      </c>
      <c r="C7" s="56" t="n">
        <v>1890533</v>
      </c>
      <c r="D7" s="56" t="n">
        <v>2268639</v>
      </c>
      <c r="E7" s="56" t="n">
        <v>2722367</v>
      </c>
      <c r="F7" s="56" t="n">
        <v>3266841</v>
      </c>
      <c r="G7" s="57">
        <f>SUM(B7:F7)</f>
        <v/>
      </c>
    </row>
    <row r="8">
      <c r="A8" s="9" t="inlineStr">
        <is>
          <t>Algeria — Vestwoods (100% LC)</t>
        </is>
      </c>
      <c r="B8" s="56" t="n">
        <v>1181583</v>
      </c>
      <c r="C8" s="56" t="n">
        <v>1417900</v>
      </c>
      <c r="D8" s="56" t="n">
        <v>1701480</v>
      </c>
      <c r="E8" s="56" t="n">
        <v>2041775</v>
      </c>
      <c r="F8" s="56" t="n">
        <v>2450131</v>
      </c>
      <c r="G8" s="57">
        <f>SUM(B8:F8)</f>
        <v/>
      </c>
    </row>
    <row r="9">
      <c r="A9" s="9" t="inlineStr">
        <is>
          <t>Libya — Vestwoods (from Year 2)</t>
        </is>
      </c>
      <c r="B9" s="56" t="n">
        <v>0</v>
      </c>
      <c r="C9" s="56" t="n">
        <v>1576000</v>
      </c>
      <c r="D9" s="56" t="n">
        <v>1891200</v>
      </c>
      <c r="E9" s="56" t="n">
        <v>2269440</v>
      </c>
      <c r="F9" s="56" t="n">
        <v>2723328</v>
      </c>
      <c r="G9" s="57">
        <f>SUM(B9:F9)</f>
        <v/>
      </c>
    </row>
    <row r="10">
      <c r="A10" s="24" t="inlineStr">
        <is>
          <t>TOTAL REVENUE</t>
        </is>
      </c>
      <c r="B10" s="57">
        <f>SUM(B6:B9)</f>
        <v/>
      </c>
      <c r="C10" s="57">
        <f>SUM(C6:C9)</f>
        <v/>
      </c>
      <c r="D10" s="57">
        <f>SUM(D6:D9)</f>
        <v/>
      </c>
      <c r="E10" s="57">
        <f>SUM(E6:E9)</f>
        <v/>
      </c>
      <c r="F10" s="57">
        <f>SUM(F6:F9)</f>
        <v/>
      </c>
      <c r="G10" s="57">
        <f>SUM(B10:F10)</f>
        <v/>
      </c>
    </row>
    <row r="11">
      <c r="A11" s="55" t="inlineStr">
        <is>
          <t>COST OF GOODS SOLD</t>
        </is>
      </c>
      <c r="B11" s="8" t="n"/>
      <c r="C11" s="8" t="n"/>
      <c r="D11" s="8" t="n"/>
      <c r="E11" s="8" t="n"/>
      <c r="F11" s="8" t="n"/>
      <c r="G11" s="8" t="n"/>
    </row>
    <row r="12">
      <c r="A12" s="9" t="inlineStr">
        <is>
          <t>Egypt product cost (79%)</t>
        </is>
      </c>
      <c r="B12" s="56" t="n">
        <v>2053592</v>
      </c>
      <c r="C12" s="56" t="n">
        <v>2464310</v>
      </c>
      <c r="D12" s="56" t="n">
        <v>2957172</v>
      </c>
      <c r="E12" s="56" t="n">
        <v>3548607</v>
      </c>
      <c r="F12" s="56" t="n">
        <v>4258328</v>
      </c>
      <c r="G12" s="57">
        <f>SUM(B12:F12)</f>
        <v/>
      </c>
    </row>
    <row r="13">
      <c r="A13" s="9" t="inlineStr">
        <is>
          <t>Export product cost (50% of Sudan+Algeria+Libya)</t>
        </is>
      </c>
      <c r="B13" s="56" t="n">
        <v>1378514</v>
      </c>
      <c r="C13" s="56" t="n">
        <v>2442216</v>
      </c>
      <c r="D13" s="56" t="n">
        <v>2930660</v>
      </c>
      <c r="E13" s="56" t="n">
        <v>3516791</v>
      </c>
      <c r="F13" s="56" t="n">
        <v>4220150</v>
      </c>
      <c r="G13" s="57">
        <f>SUM(B13:F13)</f>
        <v/>
      </c>
    </row>
    <row r="14">
      <c r="A14" s="24" t="inlineStr">
        <is>
          <t>TOTAL COGS</t>
        </is>
      </c>
      <c r="B14" s="57">
        <f>B12+B13</f>
        <v/>
      </c>
      <c r="C14" s="57">
        <f>C12+C13</f>
        <v/>
      </c>
      <c r="D14" s="57">
        <f>D12+D13</f>
        <v/>
      </c>
      <c r="E14" s="57">
        <f>E12+E13</f>
        <v/>
      </c>
      <c r="F14" s="57">
        <f>F12+F13</f>
        <v/>
      </c>
      <c r="G14" s="57">
        <f>SUM(B14:F14)</f>
        <v/>
      </c>
    </row>
    <row r="15">
      <c r="A15" s="58" t="inlineStr">
        <is>
          <t>GROSS PROFIT</t>
        </is>
      </c>
      <c r="B15" s="59">
        <f>B10-B14</f>
        <v/>
      </c>
      <c r="C15" s="59">
        <f>C10-C14</f>
        <v/>
      </c>
      <c r="D15" s="59">
        <f>D10-D14</f>
        <v/>
      </c>
      <c r="E15" s="59">
        <f>E10-E14</f>
        <v/>
      </c>
      <c r="F15" s="59">
        <f>F10-F14</f>
        <v/>
      </c>
      <c r="G15" s="59">
        <f>SUM(B15:F15)</f>
        <v/>
      </c>
    </row>
    <row r="16">
      <c r="A16" s="14" t="inlineStr">
        <is>
          <t>Gross margin %</t>
        </is>
      </c>
      <c r="B16" s="60">
        <f>B15/B10</f>
        <v/>
      </c>
      <c r="C16" s="60">
        <f>C15/C10</f>
        <v/>
      </c>
      <c r="D16" s="60">
        <f>D15/D10</f>
        <v/>
      </c>
      <c r="E16" s="60">
        <f>E15/E10</f>
        <v/>
      </c>
      <c r="F16" s="60">
        <f>F15/F10</f>
        <v/>
      </c>
    </row>
    <row r="17">
      <c r="A17" s="55" t="inlineStr">
        <is>
          <t>OPERATING EXPENSES</t>
        </is>
      </c>
      <c r="B17" s="8" t="n"/>
      <c r="C17" s="8" t="n"/>
      <c r="D17" s="8" t="n"/>
      <c r="E17" s="8" t="n"/>
      <c r="F17" s="8" t="n"/>
      <c r="G17" s="8" t="n"/>
    </row>
    <row r="18">
      <c r="A18" s="9" t="inlineStr">
        <is>
          <t>Personnel (Staff Plan + 4% Egypt commissions)</t>
        </is>
      </c>
      <c r="B18" s="56" t="n">
        <v>496014</v>
      </c>
      <c r="C18" s="56" t="n">
        <v>625715</v>
      </c>
      <c r="D18" s="56" t="n">
        <v>788670</v>
      </c>
      <c r="E18" s="56" t="n">
        <v>973176</v>
      </c>
      <c r="F18" s="56" t="n">
        <v>1298912</v>
      </c>
      <c r="G18" s="57">
        <f>SUM(B18:F18)</f>
        <v/>
      </c>
    </row>
    <row r="19">
      <c r="A19" s="9" t="inlineStr">
        <is>
          <t>Rent &amp; facilities (2 showrooms, office, warehouse)</t>
        </is>
      </c>
      <c r="B19" s="56" t="n">
        <v>115200</v>
      </c>
      <c r="C19" s="56" t="n">
        <v>115200</v>
      </c>
      <c r="D19" s="56" t="n">
        <v>135000</v>
      </c>
      <c r="E19" s="56" t="n">
        <v>175000</v>
      </c>
      <c r="F19" s="56" t="n">
        <v>220000</v>
      </c>
      <c r="G19" s="57">
        <f>SUM(B19:F19)</f>
        <v/>
      </c>
    </row>
    <row r="20">
      <c r="A20" s="9" t="inlineStr">
        <is>
          <t>Marketing &amp; promotions</t>
        </is>
      </c>
      <c r="B20" s="56" t="n">
        <v>59600</v>
      </c>
      <c r="C20" s="56" t="n">
        <v>85000</v>
      </c>
      <c r="D20" s="56" t="n">
        <v>120000</v>
      </c>
      <c r="E20" s="56" t="n">
        <v>165000</v>
      </c>
      <c r="F20" s="56" t="n">
        <v>215000</v>
      </c>
      <c r="G20" s="57">
        <f>SUM(B20:F20)</f>
        <v/>
      </c>
    </row>
    <row r="21">
      <c r="A21" s="9" t="inlineStr">
        <is>
          <t>Operations, G&amp;A &amp; trade-finance interest</t>
        </is>
      </c>
      <c r="B21" s="56" t="n">
        <v>78400</v>
      </c>
      <c r="C21" s="56" t="n">
        <v>105000</v>
      </c>
      <c r="D21" s="56" t="n">
        <v>130000</v>
      </c>
      <c r="E21" s="56" t="n">
        <v>165000</v>
      </c>
      <c r="F21" s="56" t="n">
        <v>205000</v>
      </c>
      <c r="G21" s="57">
        <f>SUM(B21:F21)</f>
        <v/>
      </c>
    </row>
    <row r="22">
      <c r="A22" s="9" t="inlineStr">
        <is>
          <t>Depreciation &amp; amortisation</t>
        </is>
      </c>
      <c r="B22" s="56" t="n">
        <v>16800</v>
      </c>
      <c r="C22" s="56" t="n">
        <v>16800</v>
      </c>
      <c r="D22" s="56" t="n">
        <v>16800</v>
      </c>
      <c r="E22" s="56" t="n">
        <v>20000</v>
      </c>
      <c r="F22" s="56" t="n">
        <v>30000</v>
      </c>
      <c r="G22" s="57">
        <f>SUM(B22:F22)</f>
        <v/>
      </c>
    </row>
    <row r="23">
      <c r="A23" s="24" t="inlineStr">
        <is>
          <t>TOTAL OPERATING EXPENSES</t>
        </is>
      </c>
      <c r="B23" s="57">
        <f>SUM(B18:B22)</f>
        <v/>
      </c>
      <c r="C23" s="57">
        <f>SUM(C18:C22)</f>
        <v/>
      </c>
      <c r="D23" s="57">
        <f>SUM(D18:D22)</f>
        <v/>
      </c>
      <c r="E23" s="57">
        <f>SUM(E18:E22)</f>
        <v/>
      </c>
      <c r="F23" s="57">
        <f>SUM(F18:F22)</f>
        <v/>
      </c>
      <c r="G23" s="57">
        <f>SUM(B23:F23)</f>
        <v/>
      </c>
    </row>
    <row r="24">
      <c r="A24" s="55" t="inlineStr">
        <is>
          <t>PROFITABILITY</t>
        </is>
      </c>
      <c r="B24" s="8" t="n"/>
      <c r="C24" s="8" t="n"/>
      <c r="D24" s="8" t="n"/>
      <c r="E24" s="8" t="n"/>
      <c r="F24" s="8" t="n"/>
      <c r="G24" s="8" t="n"/>
    </row>
    <row r="25">
      <c r="A25" s="61" t="inlineStr">
        <is>
          <t>EBIT (after interest)</t>
        </is>
      </c>
      <c r="B25" s="62">
        <f>B15-B23</f>
        <v/>
      </c>
      <c r="C25" s="62">
        <f>C15-C23</f>
        <v/>
      </c>
      <c r="D25" s="62">
        <f>D15-D23</f>
        <v/>
      </c>
      <c r="E25" s="62">
        <f>E15-E23</f>
        <v/>
      </c>
      <c r="F25" s="62">
        <f>F15-F23</f>
        <v/>
      </c>
      <c r="G25" s="57">
        <f>SUM(B25:F25)</f>
        <v/>
      </c>
    </row>
    <row r="26">
      <c r="A26" s="14" t="inlineStr">
        <is>
          <t>Corporate income tax (22.5%)</t>
        </is>
      </c>
      <c r="B26" s="56">
        <f>MAX(0,B25)*0.225</f>
        <v/>
      </c>
      <c r="C26" s="56">
        <f>MAX(0,C25)*0.225</f>
        <v/>
      </c>
      <c r="D26" s="56">
        <f>MAX(0,D25)*0.225</f>
        <v/>
      </c>
      <c r="E26" s="56">
        <f>MAX(0,E25)*0.225</f>
        <v/>
      </c>
      <c r="F26" s="56">
        <f>MAX(0,F25)*0.225</f>
        <v/>
      </c>
      <c r="G26" s="57">
        <f>SUM(B26:F26)</f>
        <v/>
      </c>
    </row>
    <row r="27">
      <c r="A27" s="58" t="inlineStr">
        <is>
          <t>NET PROFIT</t>
        </is>
      </c>
      <c r="B27" s="59">
        <f>B25-B26</f>
        <v/>
      </c>
      <c r="C27" s="59">
        <f>C25-C26</f>
        <v/>
      </c>
      <c r="D27" s="59">
        <f>D25-D26</f>
        <v/>
      </c>
      <c r="E27" s="59">
        <f>E25-E26</f>
        <v/>
      </c>
      <c r="F27" s="59">
        <f>F25-F26</f>
        <v/>
      </c>
      <c r="G27" s="59">
        <f>SUM(B27:F27)</f>
        <v/>
      </c>
    </row>
    <row r="28">
      <c r="A28" s="14" t="inlineStr">
        <is>
          <t>Net margin %</t>
        </is>
      </c>
      <c r="B28" s="60">
        <f>B27/B10</f>
        <v/>
      </c>
      <c r="C28" s="60">
        <f>C27/C10</f>
        <v/>
      </c>
      <c r="D28" s="60">
        <f>D27/D10</f>
        <v/>
      </c>
      <c r="E28" s="60">
        <f>E27/E10</f>
        <v/>
      </c>
      <c r="F28" s="60">
        <f>F27/F10</f>
        <v/>
      </c>
    </row>
    <row r="29">
      <c r="A29" s="14" t="inlineStr">
        <is>
          <t>Cumulative net profit</t>
        </is>
      </c>
      <c r="B29" s="56">
        <f>B27</f>
        <v/>
      </c>
      <c r="C29" s="56">
        <f>B29+C27</f>
        <v/>
      </c>
      <c r="D29" s="56">
        <f>C29+D27</f>
        <v/>
      </c>
      <c r="E29" s="56">
        <f>D29+E27</f>
        <v/>
      </c>
      <c r="F29" s="56">
        <f>E29+F27</f>
        <v/>
      </c>
    </row>
    <row r="31">
      <c r="A31" s="21" t="inlineStr">
        <is>
          <t>• Total 5-year revenue USD 48,320,975 | gross profit USD 18,550,636 | net profit USD 9,438,996</t>
        </is>
      </c>
    </row>
    <row r="32">
      <c r="A32" s="21" t="inlineStr">
        <is>
          <t>• Operating &amp; cumulative break-even both Month 6 (Jan-27). Year-1 net profit nearly matches the USD 1.0M raise.</t>
        </is>
      </c>
    </row>
    <row r="33">
      <c r="A33" s="21" t="inlineStr">
        <is>
          <t>• Projected investor IRR 40% (dividends only) to 69% (incl. terminal value); MOIC 3.4x–10.0x on the USD 1.0M investment.</t>
        </is>
      </c>
    </row>
  </sheetData>
  <mergeCells count="5">
    <mergeCell ref="A32:G32"/>
    <mergeCell ref="A1:G1"/>
    <mergeCell ref="A31:G31"/>
    <mergeCell ref="A2:G2"/>
    <mergeCell ref="A33:G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</cols>
  <sheetData>
    <row r="1">
      <c r="A1" s="1" t="inlineStr">
        <is>
          <t>Monthly Cash Flow — Year 1 (August 2026 – July 2027)</t>
        </is>
      </c>
    </row>
    <row r="2">
      <c r="A2" s="2" t="inlineStr">
        <is>
          <t>Sinosure-backed supplier credit | Egypt 1-month collection lag | Sudan 50% advance + 50% delivery | Algeria 100% LC</t>
        </is>
      </c>
    </row>
    <row r="4">
      <c r="A4" s="43" t="inlineStr">
        <is>
          <t>CASH FLOW ITEM</t>
        </is>
      </c>
      <c r="B4" s="44" t="inlineStr">
        <is>
          <t>Aug-26</t>
        </is>
      </c>
      <c r="C4" s="44" t="inlineStr">
        <is>
          <t>Sep-26</t>
        </is>
      </c>
      <c r="D4" s="44" t="inlineStr">
        <is>
          <t>Oct-26</t>
        </is>
      </c>
      <c r="E4" s="44" t="inlineStr">
        <is>
          <t>Nov-26</t>
        </is>
      </c>
      <c r="F4" s="44" t="inlineStr">
        <is>
          <t>Dec-26</t>
        </is>
      </c>
      <c r="G4" s="44" t="inlineStr">
        <is>
          <t>Jan-27</t>
        </is>
      </c>
      <c r="H4" s="44" t="inlineStr">
        <is>
          <t>Feb-27</t>
        </is>
      </c>
      <c r="I4" s="44" t="inlineStr">
        <is>
          <t>Mar-27</t>
        </is>
      </c>
      <c r="J4" s="44" t="inlineStr">
        <is>
          <t>Apr-27</t>
        </is>
      </c>
      <c r="K4" s="44" t="inlineStr">
        <is>
          <t>May-27</t>
        </is>
      </c>
      <c r="L4" s="44" t="inlineStr">
        <is>
          <t>Jun-27</t>
        </is>
      </c>
      <c r="M4" s="44" t="inlineStr">
        <is>
          <t>Jul-27</t>
        </is>
      </c>
      <c r="N4" s="44" t="inlineStr">
        <is>
          <t>YEAR 1
TOTAL</t>
        </is>
      </c>
    </row>
    <row r="5">
      <c r="A5" s="45" t="inlineStr">
        <is>
          <t>CASH INFLOWS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46" t="inlineStr">
        <is>
          <t>Egypt collections (1-month lag, 30-day avg)</t>
        </is>
      </c>
      <c r="B6" s="47" t="n">
        <v>20000</v>
      </c>
      <c r="C6" s="47" t="n">
        <v>40000</v>
      </c>
      <c r="D6" s="47" t="n">
        <v>40518</v>
      </c>
      <c r="E6" s="47" t="n">
        <v>55000</v>
      </c>
      <c r="F6" s="47" t="n">
        <v>80000</v>
      </c>
      <c r="G6" s="47" t="n">
        <v>130000</v>
      </c>
      <c r="H6" s="47" t="n">
        <v>180000</v>
      </c>
      <c r="I6" s="47" t="n">
        <v>270000</v>
      </c>
      <c r="J6" s="47" t="n">
        <v>330000</v>
      </c>
      <c r="K6" s="47" t="n">
        <v>380000</v>
      </c>
      <c r="L6" s="47" t="n">
        <v>420000</v>
      </c>
      <c r="M6" s="47" t="n">
        <v>440000</v>
      </c>
      <c r="N6" s="48">
        <f>SUM(B6:M6)</f>
        <v/>
      </c>
    </row>
    <row r="7">
      <c r="A7" s="46" t="inlineStr">
        <is>
          <t>Sudan cash received (50% advance + 50% delivery)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7" t="n">
        <v>196930.5</v>
      </c>
      <c r="H7" s="47" t="n">
        <v>196930.5</v>
      </c>
      <c r="I7" s="47" t="n">
        <v>196930.5</v>
      </c>
      <c r="J7" s="47" t="n">
        <v>196930.5</v>
      </c>
      <c r="K7" s="47" t="n">
        <v>196930.5</v>
      </c>
      <c r="L7" s="47" t="n">
        <v>196930.5</v>
      </c>
      <c r="M7" s="47" t="n">
        <v>196930.5</v>
      </c>
      <c r="N7" s="48">
        <f>SUM(B7:M7)</f>
        <v/>
      </c>
    </row>
    <row r="8">
      <c r="A8" s="46" t="inlineStr">
        <is>
          <t>Algeria cash received (100% LC before shipment)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0</v>
      </c>
      <c r="H8" s="47" t="n">
        <v>0</v>
      </c>
      <c r="I8" s="47" t="n">
        <v>196930.5</v>
      </c>
      <c r="J8" s="47" t="n">
        <v>196930.5</v>
      </c>
      <c r="K8" s="47" t="n">
        <v>196930.5</v>
      </c>
      <c r="L8" s="47" t="n">
        <v>196930.5</v>
      </c>
      <c r="M8" s="47" t="n">
        <v>196930.5</v>
      </c>
      <c r="N8" s="48">
        <f>SUM(B8:M8)</f>
        <v/>
      </c>
    </row>
    <row r="9">
      <c r="A9" s="46" t="inlineStr">
        <is>
          <t>Investor capital (T1 Aug 500K | T2 Nov 500K)</t>
        </is>
      </c>
      <c r="B9" s="47" t="n">
        <v>500000</v>
      </c>
      <c r="C9" s="47" t="n">
        <v>0</v>
      </c>
      <c r="D9" s="47" t="n">
        <v>0</v>
      </c>
      <c r="E9" s="47" t="n">
        <v>500000</v>
      </c>
      <c r="F9" s="47" t="n">
        <v>0</v>
      </c>
      <c r="G9" s="47" t="n">
        <v>0</v>
      </c>
      <c r="H9" s="47" t="n">
        <v>0</v>
      </c>
      <c r="I9" s="47" t="n">
        <v>0</v>
      </c>
      <c r="J9" s="47" t="n">
        <v>0</v>
      </c>
      <c r="K9" s="47" t="n">
        <v>0</v>
      </c>
      <c r="L9" s="47" t="n">
        <v>0</v>
      </c>
      <c r="M9" s="47" t="n">
        <v>0</v>
      </c>
      <c r="N9" s="48">
        <f>SUM(B9:M9)</f>
        <v/>
      </c>
    </row>
    <row r="10">
      <c r="A10" s="49" t="inlineStr">
        <is>
          <t>TOTAL CASH INFLOWS</t>
        </is>
      </c>
      <c r="B10" s="48" t="n">
        <v>520000</v>
      </c>
      <c r="C10" s="48" t="n">
        <v>40000</v>
      </c>
      <c r="D10" s="48" t="n">
        <v>40518</v>
      </c>
      <c r="E10" s="48" t="n">
        <v>555000</v>
      </c>
      <c r="F10" s="48" t="n">
        <v>80000</v>
      </c>
      <c r="G10" s="48" t="n">
        <v>326930.5</v>
      </c>
      <c r="H10" s="48" t="n">
        <v>376930.5</v>
      </c>
      <c r="I10" s="48" t="n">
        <v>663861</v>
      </c>
      <c r="J10" s="48" t="n">
        <v>723861</v>
      </c>
      <c r="K10" s="48" t="n">
        <v>773861</v>
      </c>
      <c r="L10" s="48" t="n">
        <v>813861</v>
      </c>
      <c r="M10" s="48" t="n">
        <v>833861</v>
      </c>
      <c r="N10" s="48">
        <f>SUM(B10:M10)</f>
        <v/>
      </c>
    </row>
    <row r="11">
      <c r="A11" s="45" t="inlineStr">
        <is>
          <t>CASH OUTFLOWS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46" t="inlineStr">
        <is>
          <t>Vestwoods container payments (Sinosure schedule)</t>
        </is>
      </c>
      <c r="B12" s="47" t="n">
        <v>50000</v>
      </c>
      <c r="C12" s="47" t="n">
        <v>171149.5</v>
      </c>
      <c r="D12" s="47" t="n">
        <v>0</v>
      </c>
      <c r="E12" s="47" t="n">
        <v>171149.5</v>
      </c>
      <c r="F12" s="47" t="n">
        <v>342299</v>
      </c>
      <c r="G12" s="47" t="n">
        <v>342299</v>
      </c>
      <c r="H12" s="47" t="n">
        <v>0</v>
      </c>
      <c r="I12" s="47" t="n">
        <v>70000</v>
      </c>
      <c r="J12" s="47" t="n">
        <v>35000</v>
      </c>
      <c r="K12" s="47" t="n">
        <v>420000</v>
      </c>
      <c r="L12" s="47" t="n">
        <v>630000</v>
      </c>
      <c r="M12" s="47" t="n">
        <v>1015000</v>
      </c>
      <c r="N12" s="48">
        <f>SUM(B12:M12)</f>
        <v/>
      </c>
    </row>
    <row r="13">
      <c r="A13" s="46" t="inlineStr">
        <is>
          <t>One-time setup (fit-out, deposits, licences, demo)</t>
        </is>
      </c>
      <c r="B13" s="47" t="n">
        <v>50000</v>
      </c>
      <c r="C13" s="47" t="n">
        <v>0</v>
      </c>
      <c r="D13" s="47" t="n">
        <v>0</v>
      </c>
      <c r="E13" s="47" t="n">
        <v>0</v>
      </c>
      <c r="F13" s="47" t="n">
        <v>0</v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0</v>
      </c>
      <c r="L13" s="47" t="n">
        <v>0</v>
      </c>
      <c r="M13" s="47" t="n">
        <v>0</v>
      </c>
      <c r="N13" s="48">
        <f>SUM(B13:M13)</f>
        <v/>
      </c>
    </row>
    <row r="14">
      <c r="A14" s="46" t="inlineStr">
        <is>
          <t>Operating expenses (cash, incl. commissions &amp; interest)</t>
        </is>
      </c>
      <c r="B14" s="47" t="n">
        <v>53020</v>
      </c>
      <c r="C14" s="47" t="n">
        <v>51610</v>
      </c>
      <c r="D14" s="47" t="n">
        <v>64354.3</v>
      </c>
      <c r="E14" s="47" t="n">
        <v>60230</v>
      </c>
      <c r="F14" s="47" t="n">
        <v>60430</v>
      </c>
      <c r="G14" s="47" t="n">
        <v>61510</v>
      </c>
      <c r="H14" s="47" t="n">
        <v>60910</v>
      </c>
      <c r="I14" s="47" t="n">
        <v>63610</v>
      </c>
      <c r="J14" s="47" t="n">
        <v>64610</v>
      </c>
      <c r="K14" s="47" t="n">
        <v>65810</v>
      </c>
      <c r="L14" s="47" t="n">
        <v>67810</v>
      </c>
      <c r="M14" s="47" t="n">
        <v>69810</v>
      </c>
      <c r="N14" s="48">
        <f>SUM(B14:M14)</f>
        <v/>
      </c>
    </row>
    <row r="15">
      <c r="A15" s="49" t="inlineStr">
        <is>
          <t>TOTAL CASH OUTFLOWS</t>
        </is>
      </c>
      <c r="B15" s="48" t="n">
        <v>153020</v>
      </c>
      <c r="C15" s="48" t="n">
        <v>222759.5</v>
      </c>
      <c r="D15" s="48" t="n">
        <v>64354.3</v>
      </c>
      <c r="E15" s="48" t="n">
        <v>231379.5</v>
      </c>
      <c r="F15" s="48" t="n">
        <v>402729</v>
      </c>
      <c r="G15" s="48" t="n">
        <v>403809</v>
      </c>
      <c r="H15" s="48" t="n">
        <v>60910</v>
      </c>
      <c r="I15" s="48" t="n">
        <v>133610</v>
      </c>
      <c r="J15" s="48" t="n">
        <v>99610</v>
      </c>
      <c r="K15" s="48" t="n">
        <v>485810</v>
      </c>
      <c r="L15" s="48" t="n">
        <v>697810</v>
      </c>
      <c r="M15" s="48" t="n">
        <v>1084810</v>
      </c>
      <c r="N15" s="48">
        <f>SUM(B15:M15)</f>
        <v/>
      </c>
    </row>
    <row r="16">
      <c r="A16" s="52" t="inlineStr">
        <is>
          <t>NET MONTHLY CASH FLOW</t>
        </is>
      </c>
      <c r="B16" s="53" t="n">
        <v>366980</v>
      </c>
      <c r="C16" s="53" t="n">
        <v>-182759.5</v>
      </c>
      <c r="D16" s="53" t="n">
        <v>-23836.3</v>
      </c>
      <c r="E16" s="53" t="n">
        <v>323620.5</v>
      </c>
      <c r="F16" s="53" t="n">
        <v>-322729</v>
      </c>
      <c r="G16" s="53" t="n">
        <v>-76878.5</v>
      </c>
      <c r="H16" s="53" t="n">
        <v>316020.5</v>
      </c>
      <c r="I16" s="53" t="n">
        <v>530251</v>
      </c>
      <c r="J16" s="53" t="n">
        <v>624251</v>
      </c>
      <c r="K16" s="53" t="n">
        <v>288051</v>
      </c>
      <c r="L16" s="53" t="n">
        <v>116051</v>
      </c>
      <c r="M16" s="53" t="n">
        <v>-250949</v>
      </c>
      <c r="N16" s="48">
        <f>SUM(B16:M16)</f>
        <v/>
      </c>
    </row>
    <row r="17">
      <c r="A17" s="50" t="inlineStr">
        <is>
          <t>CUMULATIVE CASH POSITION</t>
        </is>
      </c>
      <c r="B17" s="51" t="n">
        <v>366980</v>
      </c>
      <c r="C17" s="51" t="n">
        <v>184220.5</v>
      </c>
      <c r="D17" s="51" t="n">
        <v>160384.2</v>
      </c>
      <c r="E17" s="51" t="n">
        <v>484004.7</v>
      </c>
      <c r="F17" s="51" t="n">
        <v>161275.7</v>
      </c>
      <c r="G17" s="51" t="n">
        <v>84397.2</v>
      </c>
      <c r="H17" s="51" t="n">
        <v>400417.7</v>
      </c>
      <c r="I17" s="51" t="n">
        <v>930668.7</v>
      </c>
      <c r="J17" s="51" t="n">
        <v>1554919.7</v>
      </c>
      <c r="K17" s="51" t="n">
        <v>1842970.7</v>
      </c>
      <c r="L17" s="51" t="n">
        <v>1959021.7</v>
      </c>
      <c r="M17" s="51" t="n">
        <v>1708072.7</v>
      </c>
      <c r="N17" s="51" t="n">
        <v>1708072.7</v>
      </c>
    </row>
    <row r="19">
      <c r="A19" s="54" t="inlineStr">
        <is>
          <t>• Peak self-funded deficit (excluding investor capital): USD 915,603 — covered by the USD 1.0M raise.</t>
        </is>
      </c>
    </row>
    <row r="20">
      <c r="A20" s="54" t="inlineStr">
        <is>
          <t>• Minimum cash position with the raise: USD 84,397 (Jan-27, before profits build).</t>
        </is>
      </c>
    </row>
    <row r="21">
      <c r="A21" s="54" t="inlineStr">
        <is>
          <t>• Year-1 ending cash: USD 1,708,073 — funds Year-2 growth alongside the credit terms.</t>
        </is>
      </c>
    </row>
    <row r="22">
      <c r="A22" s="54" t="inlineStr">
        <is>
          <t>• Sudan advances (50% at order) arrive ~2 months before delivery and partially offset container prepayments.</t>
        </is>
      </c>
    </row>
  </sheetData>
  <mergeCells count="6">
    <mergeCell ref="A22:N22"/>
    <mergeCell ref="A20:N20"/>
    <mergeCell ref="A21:N21"/>
    <mergeCell ref="A2:N2"/>
    <mergeCell ref="A19:N19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Five-Year Cash Flow (USD)</t>
        </is>
      </c>
    </row>
    <row r="2">
      <c r="A2" s="2" t="inlineStr">
        <is>
          <t>Y1 from the monthly sheet. Y2+ under credit terms: 10% at PO + 90% at 3-month credit (~22.5% of purchases outstanding at year end)</t>
        </is>
      </c>
    </row>
    <row r="4">
      <c r="A4" s="12" t="inlineStr">
        <is>
          <t>ITEM</t>
        </is>
      </c>
      <c r="B4" s="13" t="inlineStr">
        <is>
          <t>Year 1</t>
        </is>
      </c>
      <c r="C4" s="13" t="inlineStr">
        <is>
          <t>Year 2</t>
        </is>
      </c>
      <c r="D4" s="13" t="inlineStr">
        <is>
          <t>Year 3</t>
        </is>
      </c>
      <c r="E4" s="13" t="inlineStr">
        <is>
          <t>Year 4</t>
        </is>
      </c>
      <c r="F4" s="13" t="inlineStr">
        <is>
          <t>Year 5</t>
        </is>
      </c>
    </row>
    <row r="5">
      <c r="A5" s="9" t="inlineStr">
        <is>
          <t>Customer collections</t>
        </is>
      </c>
      <c r="B5" s="56" t="n">
        <v>4748684</v>
      </c>
      <c r="C5" s="56" t="n">
        <v>8351691</v>
      </c>
      <c r="D5" s="56" t="n">
        <v>9552585</v>
      </c>
      <c r="E5" s="56" t="n">
        <v>11463101</v>
      </c>
      <c r="F5" s="56" t="n">
        <v>13755723</v>
      </c>
    </row>
    <row r="6">
      <c r="A6" s="9" t="inlineStr">
        <is>
          <t>Investor capital (T1 + T2)</t>
        </is>
      </c>
      <c r="B6" s="56" t="n">
        <v>1000000</v>
      </c>
      <c r="C6" s="56" t="n">
        <v>0</v>
      </c>
      <c r="D6" s="56" t="n">
        <v>0</v>
      </c>
      <c r="E6" s="56" t="n">
        <v>0</v>
      </c>
      <c r="F6" s="56" t="n">
        <v>0</v>
      </c>
    </row>
    <row r="7">
      <c r="A7" s="9" t="inlineStr">
        <is>
          <t>Supplier payments — current-year purchases</t>
        </is>
      </c>
      <c r="B7" s="56" t="n">
        <v>-3246897</v>
      </c>
      <c r="C7" s="56" t="n">
        <v>-3802558</v>
      </c>
      <c r="D7" s="56" t="n">
        <v>-4563070</v>
      </c>
      <c r="E7" s="56" t="n">
        <v>-5475683</v>
      </c>
      <c r="F7" s="56" t="n">
        <v>-6570820</v>
      </c>
    </row>
    <row r="8">
      <c r="A8" s="9" t="inlineStr">
        <is>
          <t>Supplier payments — prior-year balances (credit)</t>
        </is>
      </c>
      <c r="B8" s="56" t="n">
        <v>0</v>
      </c>
      <c r="C8" s="56" t="n">
        <v>-185208</v>
      </c>
      <c r="D8" s="56" t="n">
        <v>-1103968</v>
      </c>
      <c r="E8" s="56" t="n">
        <v>-1324762</v>
      </c>
      <c r="F8" s="56" t="n">
        <v>-1589714</v>
      </c>
    </row>
    <row r="9">
      <c r="A9" s="9" t="inlineStr">
        <is>
          <t>Operating expenses (cash; Y1 incl. USD 50,000 one-time setup)</t>
        </is>
      </c>
      <c r="B9" s="56" t="n">
        <v>-793714</v>
      </c>
      <c r="C9" s="56" t="n">
        <v>-930915</v>
      </c>
      <c r="D9" s="56" t="n">
        <v>-1173670</v>
      </c>
      <c r="E9" s="56" t="n">
        <v>-1478176</v>
      </c>
      <c r="F9" s="56" t="n">
        <v>-1938912</v>
      </c>
    </row>
    <row r="10">
      <c r="A10" s="9" t="inlineStr">
        <is>
          <t>Corporate tax paid (prior year, in arrears)</t>
        </is>
      </c>
      <c r="B10" s="56" t="n">
        <v>0</v>
      </c>
      <c r="C10" s="56" t="n">
        <v>-260638</v>
      </c>
      <c r="D10" s="56" t="n">
        <v>-483654</v>
      </c>
      <c r="E10" s="56" t="n">
        <v>-568412</v>
      </c>
      <c r="F10" s="56" t="n">
        <v>-666431</v>
      </c>
    </row>
    <row r="11">
      <c r="A11" s="9" t="inlineStr">
        <is>
          <t>Dividends paid (100% of prior-year net profit)</t>
        </is>
      </c>
      <c r="B11" s="56" t="n">
        <v>0</v>
      </c>
      <c r="C11" s="56" t="n">
        <v>-897753</v>
      </c>
      <c r="D11" s="56" t="n">
        <v>-1665918</v>
      </c>
      <c r="E11" s="56" t="n">
        <v>-1957862</v>
      </c>
      <c r="F11" s="56" t="n">
        <v>-2295484</v>
      </c>
    </row>
    <row r="12">
      <c r="A12" s="9" t="inlineStr">
        <is>
          <t>Capex</t>
        </is>
      </c>
      <c r="B12" s="56" t="n">
        <v>0</v>
      </c>
      <c r="C12" s="56" t="n">
        <v>-25000</v>
      </c>
      <c r="D12" s="56" t="n">
        <v>-30000</v>
      </c>
      <c r="E12" s="56" t="n">
        <v>-35000</v>
      </c>
      <c r="F12" s="56" t="n">
        <v>-40000</v>
      </c>
    </row>
    <row r="13">
      <c r="A13" s="63" t="inlineStr">
        <is>
          <t>NET ANNUAL CASH FLOW</t>
        </is>
      </c>
      <c r="B13" s="57" t="n">
        <v>1708073</v>
      </c>
      <c r="C13" s="57" t="n">
        <v>2249618</v>
      </c>
      <c r="D13" s="57" t="n">
        <v>532306</v>
      </c>
      <c r="E13" s="57" t="n">
        <v>623207</v>
      </c>
      <c r="F13" s="57" t="n">
        <v>654361</v>
      </c>
    </row>
    <row r="14">
      <c r="A14" s="64" t="inlineStr">
        <is>
          <t>CLOSING CASH POSITION</t>
        </is>
      </c>
      <c r="B14" s="59" t="n">
        <v>1708073</v>
      </c>
      <c r="C14" s="59" t="n">
        <v>3957691</v>
      </c>
      <c r="D14" s="59" t="n">
        <v>4489997</v>
      </c>
      <c r="E14" s="59" t="n">
        <v>5113204</v>
      </c>
      <c r="F14" s="59" t="n">
        <v>5767565</v>
      </c>
    </row>
    <row r="16">
      <c r="A16" s="9" t="inlineStr">
        <is>
          <t>MEMO — Trade receivables (Egypt, 1 month + Y1 export)</t>
        </is>
      </c>
      <c r="B16" s="56" t="n">
        <v>607826</v>
      </c>
      <c r="C16" s="56" t="n">
        <v>259948</v>
      </c>
      <c r="D16" s="56" t="n">
        <v>311938</v>
      </c>
      <c r="E16" s="56" t="n">
        <v>374326</v>
      </c>
      <c r="F16" s="56" t="n">
        <v>449191</v>
      </c>
    </row>
    <row r="17">
      <c r="A17" s="9" t="inlineStr">
        <is>
          <t>MEMO — Supplier balances payable next year</t>
        </is>
      </c>
      <c r="B17" s="56" t="n">
        <v>185208</v>
      </c>
      <c r="C17" s="56" t="n">
        <v>1103969</v>
      </c>
      <c r="D17" s="56" t="n">
        <v>1324762</v>
      </c>
      <c r="E17" s="56" t="n">
        <v>1589714</v>
      </c>
      <c r="F17" s="56" t="n">
        <v>1907658</v>
      </c>
    </row>
    <row r="19" ht="26" customHeight="1">
      <c r="A19" s="65" t="inlineStr">
        <is>
          <t>• STRENGTH — Sinosure-backed credit (10% down + 90% at 3-month credit) carries ~22.5% of each year's purchases into the next year; closing cash rises every year despite full dividend payout.</t>
        </is>
      </c>
    </row>
    <row r="20" ht="26" customHeight="1">
      <c r="A20" s="65" t="inlineStr">
        <is>
          <t>• RISK — Year 1 depends on the raise: peak self-funded deficit USD 915,603 (Jan-27); the USD 1.0M raise covers it with a USD 84,397 minimum. The optional accelerator widens the buffer.</t>
        </is>
      </c>
    </row>
    <row r="21" ht="26" customHeight="1">
      <c r="A21" s="65" t="inlineStr">
        <is>
          <t>• NOTE — supplier payments are modelled on P&amp;L COGS (export at 50%). If exports are re-based to the ~13% wholesale margin implied by the landed container cost, supplier outflows rise and net cash falls — see the Pricing Reference diligence note.</t>
        </is>
      </c>
    </row>
  </sheetData>
  <mergeCells count="5">
    <mergeCell ref="A2:F2"/>
    <mergeCell ref="A19:F19"/>
    <mergeCell ref="A1:F1"/>
    <mergeCell ref="A20:F20"/>
    <mergeCell ref="A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9" customWidth="1" min="4" max="4"/>
    <col width="26" customWidth="1" min="5" max="5"/>
    <col width="46" customWidth="1" min="6" max="6"/>
  </cols>
  <sheetData>
    <row r="1">
      <c r="A1" s="1" t="inlineStr">
        <is>
          <t>Market Detail — Vestwoods</t>
        </is>
      </c>
    </row>
    <row r="2">
      <c r="A2" s="2" t="inlineStr">
        <is>
          <t>Container allocations, revenue, margins, terms and market actions per year</t>
        </is>
      </c>
    </row>
    <row r="4">
      <c r="A4" s="12" t="inlineStr">
        <is>
          <t>Market / Year</t>
        </is>
      </c>
      <c r="B4" s="13" t="inlineStr">
        <is>
          <t>Containers</t>
        </is>
      </c>
      <c r="C4" s="13" t="inlineStr">
        <is>
          <t>Revenue (USD)</t>
        </is>
      </c>
      <c r="D4" s="13" t="inlineStr">
        <is>
          <t>GM %</t>
        </is>
      </c>
      <c r="E4" s="13" t="inlineStr">
        <is>
          <t>Payment terms</t>
        </is>
      </c>
      <c r="F4" s="13" t="inlineStr">
        <is>
          <t>Key market action</t>
        </is>
      </c>
    </row>
    <row r="5">
      <c r="A5" s="55" t="inlineStr">
        <is>
          <t>EGYPT</t>
        </is>
      </c>
      <c r="B5" s="8" t="n"/>
      <c r="C5" s="8" t="n"/>
      <c r="D5" s="8" t="n"/>
      <c r="E5" s="8" t="n"/>
      <c r="F5" s="8" t="n"/>
    </row>
    <row r="6">
      <c r="A6" s="22" t="inlineStr">
        <is>
          <t>Year 1</t>
        </is>
      </c>
      <c r="B6" s="66" t="n">
        <v>6</v>
      </c>
      <c r="C6" s="23" t="n">
        <v>2599483</v>
      </c>
      <c r="D6" s="67" t="n">
        <v>0.21</v>
      </c>
      <c r="E6" s="68" t="inlineStr">
        <is>
          <t>Retail + 30–60 day dealer terms</t>
        </is>
      </c>
      <c r="F6" s="68" t="inlineStr">
        <is>
          <t>Two showrooms live; dealer network build; I LOCK wholesale anchor</t>
        </is>
      </c>
    </row>
    <row r="7">
      <c r="A7" s="22" t="inlineStr">
        <is>
          <t>Year 2</t>
        </is>
      </c>
      <c r="B7" s="66" t="n">
        <v>7</v>
      </c>
      <c r="C7" s="23" t="n">
        <v>3119380</v>
      </c>
      <c r="D7" s="67" t="n">
        <v>0.21</v>
      </c>
      <c r="E7" s="68" t="inlineStr">
        <is>
          <t>Retail + 30–60 day dealer terms</t>
        </is>
      </c>
      <c r="F7" s="68" t="inlineStr">
        <is>
          <t>Alexandria coverage via dealers; first C&amp;I quotes</t>
        </is>
      </c>
    </row>
    <row r="8">
      <c r="A8" s="22" t="inlineStr">
        <is>
          <t>Year 3</t>
        </is>
      </c>
      <c r="B8" s="66" t="n">
        <v>9</v>
      </c>
      <c r="C8" s="23" t="n">
        <v>3743256</v>
      </c>
      <c r="D8" s="67" t="n">
        <v>0.21</v>
      </c>
      <c r="E8" s="68" t="inlineStr">
        <is>
          <t>Retail + 30–60 day dealer terms</t>
        </is>
      </c>
      <c r="F8" s="68" t="inlineStr">
        <is>
          <t>Alexandria branch opens; telecom accounts</t>
        </is>
      </c>
    </row>
    <row r="9">
      <c r="A9" s="22" t="inlineStr">
        <is>
          <t>Year 4</t>
        </is>
      </c>
      <c r="B9" s="66" t="n">
        <v>11</v>
      </c>
      <c r="C9" s="23" t="n">
        <v>4491907</v>
      </c>
      <c r="D9" s="67" t="n">
        <v>0.21</v>
      </c>
      <c r="E9" s="68" t="inlineStr">
        <is>
          <t>Retail + 30–60 day dealer terms</t>
        </is>
      </c>
      <c r="F9" s="68" t="inlineStr">
        <is>
          <t>B2G/tenders desk; C&amp;I pipeline</t>
        </is>
      </c>
    </row>
    <row r="10">
      <c r="A10" s="22" t="inlineStr">
        <is>
          <t>Year 5</t>
        </is>
      </c>
      <c r="B10" s="66" t="n">
        <v>15</v>
      </c>
      <c r="C10" s="23" t="n">
        <v>5390288</v>
      </c>
      <c r="D10" s="67" t="n">
        <v>0.21</v>
      </c>
      <c r="E10" s="68" t="inlineStr">
        <is>
          <t>Retail + 30–60 day dealer terms</t>
        </is>
      </c>
      <c r="F10" s="68" t="inlineStr">
        <is>
          <t>40+ dealer network; CKD assembly evaluation</t>
        </is>
      </c>
    </row>
    <row r="11">
      <c r="A11" s="55" t="inlineStr">
        <is>
          <t>SUDAN</t>
        </is>
      </c>
      <c r="B11" s="8" t="n"/>
      <c r="C11" s="8" t="n"/>
      <c r="D11" s="8" t="n"/>
      <c r="E11" s="8" t="n"/>
      <c r="F11" s="8" t="n"/>
    </row>
    <row r="12">
      <c r="A12" s="22" t="inlineStr">
        <is>
          <t>Year 1</t>
        </is>
      </c>
      <c r="B12" s="66" t="n">
        <v>4</v>
      </c>
      <c r="C12" s="23" t="n">
        <v>1575444</v>
      </c>
      <c r="D12" s="67" t="n">
        <v>0.5</v>
      </c>
      <c r="E12" s="68" t="inlineStr">
        <is>
          <t>50% advance + 50% on delivery</t>
        </is>
      </c>
      <c r="F12" s="68" t="inlineStr">
        <is>
          <t>Committed buyer orders on arrival of first containers</t>
        </is>
      </c>
    </row>
    <row r="13">
      <c r="A13" s="22" t="inlineStr">
        <is>
          <t>Year 2</t>
        </is>
      </c>
      <c r="B13" s="66" t="n">
        <v>5</v>
      </c>
      <c r="C13" s="23" t="n">
        <v>1890533</v>
      </c>
      <c r="D13" s="67" t="n">
        <v>0.5</v>
      </c>
      <c r="E13" s="68" t="inlineStr">
        <is>
          <t>50% advance + 50% on delivery</t>
        </is>
      </c>
      <c r="F13" s="68" t="inlineStr">
        <is>
          <t>3 dealers; add Omdurman, El Obeid</t>
        </is>
      </c>
    </row>
    <row r="14">
      <c r="A14" s="22" t="inlineStr">
        <is>
          <t>Year 3</t>
        </is>
      </c>
      <c r="B14" s="66" t="n">
        <v>6</v>
      </c>
      <c r="C14" s="23" t="n">
        <v>2268639</v>
      </c>
      <c r="D14" s="67" t="n">
        <v>0.5</v>
      </c>
      <c r="E14" s="68" t="inlineStr">
        <is>
          <t>50% advance + 50% on delivery</t>
        </is>
      </c>
      <c r="F14" s="68" t="inlineStr">
        <is>
          <t>Telecom tower contracts</t>
        </is>
      </c>
    </row>
    <row r="15">
      <c r="A15" s="22" t="inlineStr">
        <is>
          <t>Year 4</t>
        </is>
      </c>
      <c r="B15" s="66" t="n">
        <v>8</v>
      </c>
      <c r="C15" s="23" t="n">
        <v>2722367</v>
      </c>
      <c r="D15" s="67" t="n">
        <v>0.5</v>
      </c>
      <c r="E15" s="68" t="inlineStr">
        <is>
          <t>50% advance + 50% on delivery</t>
        </is>
      </c>
      <c r="F15" s="68" t="inlineStr">
        <is>
          <t>C&amp;I projects; Khartoum tenders</t>
        </is>
      </c>
    </row>
    <row r="16">
      <c r="A16" s="22" t="inlineStr">
        <is>
          <t>Year 5</t>
        </is>
      </c>
      <c r="B16" s="66" t="n">
        <v>10</v>
      </c>
      <c r="C16" s="23" t="n">
        <v>3266841</v>
      </c>
      <c r="D16" s="67" t="n">
        <v>0.5</v>
      </c>
      <c r="E16" s="68" t="inlineStr">
        <is>
          <t>50% advance + 50% on delivery</t>
        </is>
      </c>
      <c r="F16" s="68" t="inlineStr">
        <is>
          <t>Standalone Sudan office consideration</t>
        </is>
      </c>
    </row>
    <row r="17">
      <c r="A17" s="55" t="inlineStr">
        <is>
          <t>ALGERIA</t>
        </is>
      </c>
      <c r="B17" s="8" t="n"/>
      <c r="C17" s="8" t="n"/>
      <c r="D17" s="8" t="n"/>
      <c r="E17" s="8" t="n"/>
      <c r="F17" s="8" t="n"/>
    </row>
    <row r="18">
      <c r="A18" s="22" t="inlineStr">
        <is>
          <t>Year 1</t>
        </is>
      </c>
      <c r="B18" s="66" t="n">
        <v>3</v>
      </c>
      <c r="C18" s="23" t="n">
        <v>1181583</v>
      </c>
      <c r="D18" s="67" t="n">
        <v>0.5</v>
      </c>
      <c r="E18" s="68" t="inlineStr">
        <is>
          <t>100% LC before shipment</t>
        </is>
      </c>
      <c r="F18" s="68" t="inlineStr">
        <is>
          <t>First LC orders under negotiated agency (FOB Jebel Ali)</t>
        </is>
      </c>
    </row>
    <row r="19">
      <c r="A19" s="22" t="inlineStr">
        <is>
          <t>Year 2</t>
        </is>
      </c>
      <c r="B19" s="66" t="n">
        <v>4</v>
      </c>
      <c r="C19" s="23" t="n">
        <v>1417900</v>
      </c>
      <c r="D19" s="67" t="n">
        <v>0.5</v>
      </c>
      <c r="E19" s="68" t="inlineStr">
        <is>
          <t>100% LC before shipment</t>
        </is>
      </c>
      <c r="F19" s="68" t="inlineStr">
        <is>
          <t>Agency formalised; dealer sub-network</t>
        </is>
      </c>
    </row>
    <row r="20">
      <c r="A20" s="22" t="inlineStr">
        <is>
          <t>Year 3</t>
        </is>
      </c>
      <c r="B20" s="66" t="n">
        <v>6</v>
      </c>
      <c r="C20" s="23" t="n">
        <v>1701480</v>
      </c>
      <c r="D20" s="67" t="n">
        <v>0.5</v>
      </c>
      <c r="E20" s="68" t="inlineStr">
        <is>
          <t>100% LC before shipment</t>
        </is>
      </c>
      <c r="F20" s="68" t="inlineStr">
        <is>
          <t>Solar programme alignment</t>
        </is>
      </c>
    </row>
    <row r="21">
      <c r="A21" s="22" t="inlineStr">
        <is>
          <t>Year 4</t>
        </is>
      </c>
      <c r="B21" s="66" t="n">
        <v>7</v>
      </c>
      <c r="C21" s="23" t="n">
        <v>2041775</v>
      </c>
      <c r="D21" s="67" t="n">
        <v>0.5</v>
      </c>
      <c r="E21" s="68" t="inlineStr">
        <is>
          <t>100% LC before shipment</t>
        </is>
      </c>
      <c r="F21" s="68" t="inlineStr">
        <is>
          <t>C&amp;I entries; coverage expansion</t>
        </is>
      </c>
    </row>
    <row r="22">
      <c r="A22" s="22" t="inlineStr">
        <is>
          <t>Year 5</t>
        </is>
      </c>
      <c r="B22" s="66" t="n">
        <v>8</v>
      </c>
      <c r="C22" s="23" t="n">
        <v>2450131</v>
      </c>
      <c r="D22" s="67" t="n">
        <v>0.5</v>
      </c>
      <c r="E22" s="68" t="inlineStr">
        <is>
          <t>100% LC before shipment</t>
        </is>
      </c>
      <c r="F22" s="68" t="inlineStr">
        <is>
          <t>Scale; assess in-country JV</t>
        </is>
      </c>
    </row>
    <row r="23">
      <c r="A23" s="55" t="inlineStr">
        <is>
          <t>LIBYA</t>
        </is>
      </c>
      <c r="B23" s="8" t="n"/>
      <c r="C23" s="8" t="n"/>
      <c r="D23" s="8" t="n"/>
      <c r="E23" s="8" t="n"/>
      <c r="F23" s="8" t="n"/>
    </row>
    <row r="24">
      <c r="A24" s="22" t="inlineStr">
        <is>
          <t>Year 1</t>
        </is>
      </c>
      <c r="B24" s="66" t="inlineStr">
        <is>
          <t>—</t>
        </is>
      </c>
      <c r="C24" s="23" t="n">
        <v>0</v>
      </c>
      <c r="D24" s="66" t="inlineStr">
        <is>
          <t>—</t>
        </is>
      </c>
      <c r="E24" s="68" t="inlineStr">
        <is>
          <t>Advance / confirmed LC</t>
        </is>
      </c>
      <c r="F24" s="68" t="inlineStr">
        <is>
          <t>—</t>
        </is>
      </c>
    </row>
    <row r="25">
      <c r="A25" s="22" t="inlineStr">
        <is>
          <t>Year 2</t>
        </is>
      </c>
      <c r="B25" s="66" t="n">
        <v>4</v>
      </c>
      <c r="C25" s="23" t="n">
        <v>1576000</v>
      </c>
      <c r="D25" s="67" t="n">
        <v>0.5</v>
      </c>
      <c r="E25" s="68" t="inlineStr">
        <is>
          <t>Advance / confirmed LC</t>
        </is>
      </c>
      <c r="F25" s="68" t="inlineStr">
        <is>
          <t>Sign Tripoli + Benghazi distributors</t>
        </is>
      </c>
    </row>
    <row r="26">
      <c r="A26" s="22" t="inlineStr">
        <is>
          <t>Year 3</t>
        </is>
      </c>
      <c r="B26" s="66" t="n">
        <v>5</v>
      </c>
      <c r="C26" s="23" t="n">
        <v>1891200</v>
      </c>
      <c r="D26" s="67" t="n">
        <v>0.5</v>
      </c>
      <c r="E26" s="68" t="inlineStr">
        <is>
          <t>Advance / confirmed LC</t>
        </is>
      </c>
      <c r="F26" s="68" t="inlineStr">
        <is>
          <t>Residential solar in outage districts</t>
        </is>
      </c>
    </row>
    <row r="27">
      <c r="A27" s="22" t="inlineStr">
        <is>
          <t>Year 4</t>
        </is>
      </c>
      <c r="B27" s="66" t="n">
        <v>6</v>
      </c>
      <c r="C27" s="23" t="n">
        <v>2269440</v>
      </c>
      <c r="D27" s="67" t="n">
        <v>0.5</v>
      </c>
      <c r="E27" s="68" t="inlineStr">
        <is>
          <t>Advance / confirmed LC</t>
        </is>
      </c>
      <c r="F27" s="68" t="inlineStr">
        <is>
          <t>C&amp;I backup; NGO/health supply</t>
        </is>
      </c>
    </row>
    <row r="28">
      <c r="A28" s="22" t="inlineStr">
        <is>
          <t>Year 5</t>
        </is>
      </c>
      <c r="B28" s="66" t="n">
        <v>8</v>
      </c>
      <c r="C28" s="23" t="n">
        <v>2723328</v>
      </c>
      <c r="D28" s="67" t="n">
        <v>0.5</v>
      </c>
      <c r="E28" s="68" t="inlineStr">
        <is>
          <t>Advance / confirmed LC</t>
        </is>
      </c>
      <c r="F28" s="68" t="inlineStr">
        <is>
          <t>Secondary-city coverage</t>
        </is>
      </c>
    </row>
    <row r="29" ht="26" customHeight="1">
      <c r="A29" s="54" t="inlineStr">
        <is>
          <t>Sudan cash terms mean revenue is collected before/at shipment; Algeria LC-before-shipment carries zero receivable risk. Export GM shown at the 50% supply-pricing basis (see Pricing Reference diligence note).</t>
        </is>
      </c>
    </row>
  </sheetData>
  <mergeCells count="3">
    <mergeCell ref="A2:F2"/>
    <mergeCell ref="A1:F1"/>
    <mergeCell ref="A29:F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" t="inlineStr">
        <is>
          <t>Funding Structure &amp; Investor Returns</t>
        </is>
      </c>
    </row>
    <row r="2">
      <c r="A2" s="2" t="inlineStr">
        <is>
          <t>USD 1,000,000 core for 50% of NORCO Egypt (T1 500K + T2 500K) | optional 500K accelerator | dividends 100% payout in arrears | terminal at 5× Year-5 net profit</t>
        </is>
      </c>
    </row>
    <row r="4">
      <c r="A4" s="69" t="inlineStr">
        <is>
          <t>A.  TRANCHE STRUCTURE</t>
        </is>
      </c>
    </row>
    <row r="5">
      <c r="A5" s="70" t="inlineStr">
        <is>
          <t>Tranche</t>
        </is>
      </c>
      <c r="B5" s="71" t="inlineStr">
        <is>
          <t>Amount (USD)</t>
        </is>
      </c>
      <c r="C5" s="71" t="inlineStr">
        <is>
          <t>Timing</t>
        </is>
      </c>
      <c r="D5" s="71" t="inlineStr">
        <is>
          <t>Gate / purpose</t>
        </is>
      </c>
      <c r="E5" s="72" t="inlineStr"/>
      <c r="F5" s="72" t="inlineStr"/>
      <c r="G5" s="72" t="inlineStr"/>
    </row>
    <row r="6" ht="26" customHeight="1">
      <c r="A6" s="22" t="inlineStr">
        <is>
          <t>Tranche 1 — Launch</t>
        </is>
      </c>
      <c r="B6" s="23" t="n">
        <v>500000</v>
      </c>
      <c r="C6" s="73" t="inlineStr">
        <is>
          <t>Month 1 (Aug-26, at close)</t>
        </is>
      </c>
      <c r="D6" s="46" t="inlineStr">
        <is>
          <t>First Vestwoods containers (Sinosure credit approved), setup, opex runway</t>
        </is>
      </c>
    </row>
    <row r="7" ht="26" customHeight="1">
      <c r="A7" s="22" t="inlineStr">
        <is>
          <t>Tranche 2 — Scale</t>
        </is>
      </c>
      <c r="B7" s="23" t="n">
        <v>500000</v>
      </c>
      <c r="C7" s="73" t="inlineStr">
        <is>
          <t>Month 4 (Nov-26), milestone-gated</t>
        </is>
      </c>
      <c r="D7" s="46" t="inlineStr">
        <is>
          <t>Released on ≥3 containers sold through + Sudan advances received; funds container waves 4–13</t>
        </is>
      </c>
    </row>
    <row r="8" ht="26" customHeight="1">
      <c r="A8" s="22" t="inlineStr">
        <is>
          <t>Optional accelerator</t>
        </is>
      </c>
      <c r="B8" s="23" t="n">
        <v>500000</v>
      </c>
      <c r="C8" s="73" t="inlineStr">
        <is>
          <t>Months 6–12, by mutual agreement</t>
        </is>
      </c>
      <c r="D8" s="46" t="inlineStr">
        <is>
          <t>Standing buffer / faster Libya &amp; Algeria ramp; brings total to the USD 1.5M ceiling</t>
        </is>
      </c>
    </row>
    <row r="9">
      <c r="A9" s="24" t="inlineStr">
        <is>
          <t>Core total (T1+T2)</t>
        </is>
      </c>
      <c r="B9" s="26">
        <f>SUM(B6:B7)</f>
        <v/>
      </c>
      <c r="C9" s="19" t="inlineStr"/>
      <c r="D9" s="19" t="inlineStr"/>
      <c r="E9" s="19" t="inlineStr"/>
      <c r="F9" s="19" t="inlineStr"/>
      <c r="G9" s="19" t="inlineStr"/>
    </row>
    <row r="11">
      <c r="A11" s="69" t="inlineStr">
        <is>
          <t>B.  INVESTOR CASH FLOW — 50% equity of NORCO Egypt for USD 1.0M</t>
        </is>
      </c>
    </row>
    <row r="12">
      <c r="A12" s="70" t="inlineStr">
        <is>
          <t>Flow (USD)</t>
        </is>
      </c>
      <c r="B12" s="71" t="inlineStr">
        <is>
          <t>Y0 (close)</t>
        </is>
      </c>
      <c r="C12" s="71" t="inlineStr">
        <is>
          <t>Year 1</t>
        </is>
      </c>
      <c r="D12" s="71" t="inlineStr">
        <is>
          <t>Year 2</t>
        </is>
      </c>
      <c r="E12" s="71" t="inlineStr">
        <is>
          <t>Year 3</t>
        </is>
      </c>
      <c r="F12" s="71" t="inlineStr">
        <is>
          <t>Year 4</t>
        </is>
      </c>
      <c r="G12" s="71" t="inlineStr">
        <is>
          <t>Year 5</t>
        </is>
      </c>
    </row>
    <row r="13">
      <c r="A13" s="22" t="inlineStr">
        <is>
          <t>Capital invested</t>
        </is>
      </c>
      <c r="B13" s="47" t="n">
        <v>-1000000</v>
      </c>
      <c r="C13" s="47" t="n">
        <v>0</v>
      </c>
      <c r="D13" s="47" t="n">
        <v>0</v>
      </c>
      <c r="E13" s="47" t="n">
        <v>0</v>
      </c>
      <c r="F13" s="47" t="n">
        <v>0</v>
      </c>
      <c r="G13" s="47" t="n">
        <v>0</v>
      </c>
    </row>
    <row r="14">
      <c r="A14" s="22" t="inlineStr">
        <is>
          <t>Dividends (50% of prior-year net profit)</t>
        </is>
      </c>
      <c r="B14" s="47" t="n">
        <v>0</v>
      </c>
      <c r="C14" s="47" t="n">
        <v>0</v>
      </c>
      <c r="D14" s="47">
        <f>0.5*'Annual P&amp;L Summary Y1-Y5'!B27</f>
        <v/>
      </c>
      <c r="E14" s="47">
        <f>0.5*'Annual P&amp;L Summary Y1-Y5'!C27</f>
        <v/>
      </c>
      <c r="F14" s="47">
        <f>0.5*'Annual P&amp;L Summary Y1-Y5'!D27</f>
        <v/>
      </c>
      <c r="G14" s="47">
        <f>0.5*'Annual P&amp;L Summary Y1-Y5'!E27</f>
        <v/>
      </c>
    </row>
    <row r="15">
      <c r="A15" s="22" t="inlineStr">
        <is>
          <t>Terminal value (50% × 5 × Y5 net profit)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7">
        <f>0.5*5*'Annual P&amp;L Summary Y1-Y5'!F27</f>
        <v/>
      </c>
    </row>
    <row r="16">
      <c r="A16" s="24" t="inlineStr">
        <is>
          <t>Net investor cash flow</t>
        </is>
      </c>
      <c r="B16" s="57">
        <f>SUM(B13:B15)</f>
        <v/>
      </c>
      <c r="C16" s="57">
        <f>SUM(C13:C15)</f>
        <v/>
      </c>
      <c r="D16" s="57">
        <f>SUM(D13:D15)</f>
        <v/>
      </c>
      <c r="E16" s="57">
        <f>SUM(E13:E15)</f>
        <v/>
      </c>
      <c r="F16" s="57">
        <f>SUM(F13:F15)</f>
        <v/>
      </c>
      <c r="G16" s="57">
        <f>SUM(G13:G15)</f>
        <v/>
      </c>
    </row>
    <row r="17">
      <c r="A17" s="74" t="inlineStr">
        <is>
          <t>IRR — incl. terminal value</t>
        </is>
      </c>
      <c r="B17" s="75">
        <f>IRR(B16:G16)</f>
        <v/>
      </c>
      <c r="D17" s="74" t="inlineStr">
        <is>
          <t>MOIC</t>
        </is>
      </c>
      <c r="E17" s="76">
        <f>SUM(C16:G16)/-B16</f>
        <v/>
      </c>
    </row>
    <row r="18">
      <c r="A18" s="74" t="inlineStr">
        <is>
          <t>IRR — dividends only (excl. terminal)</t>
        </is>
      </c>
      <c r="B18" s="75" t="n">
        <v>0.4</v>
      </c>
      <c r="D18" s="74" t="inlineStr">
        <is>
          <t>MOIC</t>
        </is>
      </c>
      <c r="E18" s="76" t="n">
        <v>3.41</v>
      </c>
    </row>
    <row r="20">
      <c r="A20" s="69" t="inlineStr">
        <is>
          <t>C.  INVESTOR PROTECTIONS</t>
        </is>
      </c>
    </row>
    <row r="21" ht="22" customHeight="1">
      <c r="A21" s="77" t="inlineStr">
        <is>
          <t>• Tranche 2 released only against verified Month-4 milestones (≥3 containers sold through + Sudan advances received).</t>
        </is>
      </c>
    </row>
    <row r="22" ht="22" customHeight="1">
      <c r="A22" s="77" t="inlineStr">
        <is>
          <t>• Quarterly management accounts; monthly cash &amp; inventory reporting; USD-denominated books.</t>
        </is>
      </c>
    </row>
    <row r="23" ht="22" customHeight="1">
      <c r="A23" s="77" t="inlineStr">
        <is>
          <t>• Egypt customers on max 60-day terms; Sudan cash-before-shipment; Algeria LC only; Libya advance/LC.</t>
        </is>
      </c>
    </row>
    <row r="24" ht="22" customHeight="1">
      <c r="A24" s="77" t="inlineStr">
        <is>
          <t>• Exclusive Vestwoods agency (first right of engagement + non-circumvention) held within the group; assignable as security.</t>
        </is>
      </c>
    </row>
    <row r="25" ht="22" customHeight="1">
      <c r="A25" s="77" t="inlineStr">
        <is>
          <t>• Founder pre-investment of USD 14,517 already deployed; board seat and reserved matters for the investor.</t>
        </is>
      </c>
    </row>
  </sheetData>
  <mergeCells count="10">
    <mergeCell ref="A1:G1"/>
    <mergeCell ref="D8:G8"/>
    <mergeCell ref="D6:G6"/>
    <mergeCell ref="A21:G21"/>
    <mergeCell ref="A22:G22"/>
    <mergeCell ref="D7:G7"/>
    <mergeCell ref="A24:G24"/>
    <mergeCell ref="A2:G2"/>
    <mergeCell ref="A25:G25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4" customWidth="1" min="3" max="3"/>
  </cols>
  <sheetData>
    <row r="1">
      <c r="A1" s="1" t="inlineStr">
        <is>
          <t>Shareholding — NORCO Egypt (the investment vehicle)</t>
        </is>
      </c>
    </row>
    <row r="2">
      <c r="A2" s="2" t="inlineStr">
        <is>
          <t>Investor subscribes into the Egypt operating company; NORCO UAE anchors the Vestwoods agency as a 20% shareholder</t>
        </is>
      </c>
    </row>
    <row r="4">
      <c r="A4" s="12" t="inlineStr">
        <is>
          <t>Shareholder</t>
        </is>
      </c>
      <c r="B4" s="13" t="inlineStr">
        <is>
          <t>NORCO Egypt %</t>
        </is>
      </c>
      <c r="C4" s="13" t="inlineStr">
        <is>
          <t>Notes</t>
        </is>
      </c>
    </row>
    <row r="5" ht="24" customHeight="1">
      <c r="A5" s="9" t="inlineStr">
        <is>
          <t>Investor (USD 1.0M capital)</t>
        </is>
      </c>
      <c r="B5" s="78" t="n">
        <v>0.5</v>
      </c>
      <c r="C5" s="11" t="inlineStr">
        <is>
          <t>Cash for 50% of NORCO Egypt; board seat; reserved matters</t>
        </is>
      </c>
    </row>
    <row r="6" ht="24" customHeight="1">
      <c r="A6" s="9" t="inlineStr">
        <is>
          <t>NORCO General Trading L.L.C. (UAE)</t>
        </is>
      </c>
      <c r="B6" s="78" t="n">
        <v>0.2</v>
      </c>
      <c r="C6" s="11" t="inlineStr">
        <is>
          <t>Holds the Vestwoods exclusive agency</t>
        </is>
      </c>
    </row>
    <row r="7" ht="24" customHeight="1">
      <c r="A7" s="9" t="inlineStr">
        <is>
          <t>Mohammed Fadi Jannan — Chairman &amp; Founder</t>
        </is>
      </c>
      <c r="B7" s="78" t="n">
        <v>0.2</v>
      </c>
      <c r="C7" s="11" t="inlineStr">
        <is>
          <t>Executive lead; combined founder-side interest 40% (20% direct + 20% via NORCO UAE)</t>
        </is>
      </c>
    </row>
    <row r="8" ht="24" customHeight="1">
      <c r="A8" s="9" t="inlineStr">
        <is>
          <t>Partner A</t>
        </is>
      </c>
      <c r="B8" s="78" t="n">
        <v>0.05</v>
      </c>
      <c r="C8" s="11" t="inlineStr">
        <is>
          <t>Existing partner</t>
        </is>
      </c>
    </row>
    <row r="9" ht="24" customHeight="1">
      <c r="A9" s="9" t="inlineStr">
        <is>
          <t>Partner B</t>
        </is>
      </c>
      <c r="B9" s="78" t="n">
        <v>0.05</v>
      </c>
      <c r="C9" s="11" t="inlineStr">
        <is>
          <t>Existing partner</t>
        </is>
      </c>
    </row>
    <row r="10">
      <c r="A10" s="18" t="inlineStr">
        <is>
          <t>TOTAL</t>
        </is>
      </c>
      <c r="B10" s="79">
        <f>SUM(B5:B9)</f>
        <v/>
      </c>
      <c r="C10" s="19" t="n"/>
    </row>
    <row r="12" ht="26" customHeight="1">
      <c r="A12" s="77" t="inlineStr">
        <is>
          <t>• Founder-side combined interest = 40%: 20% held directly by the Chairman + 20% held via NORCO General Trading L.L.C. (UAE), which he controls.</t>
        </is>
      </c>
    </row>
    <row r="13" ht="26" customHeight="1">
      <c r="A13" s="77" t="inlineStr">
        <is>
          <t>• NORCO UAE contributes the exclusive Vestwoods agency to the Egypt company under a long-term agreement.</t>
        </is>
      </c>
    </row>
    <row r="14" ht="26" customHeight="1">
      <c r="A14" s="77" t="inlineStr">
        <is>
          <t>• Dividend policy: 100% of net profit distributed annually in arrears — investor receives 50% of every distribution.</t>
        </is>
      </c>
    </row>
  </sheetData>
  <mergeCells count="5">
    <mergeCell ref="A13:C13"/>
    <mergeCell ref="A1:C1"/>
    <mergeCell ref="A14:C14"/>
    <mergeCell ref="A12:C12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Investor Dashboard</t>
        </is>
      </c>
    </row>
    <row r="2">
      <c r="A2" s="2" t="inlineStr">
        <is>
          <t>Headline metrics — NORCO Egypt, Vestwoods only</t>
        </is>
      </c>
    </row>
    <row r="4">
      <c r="A4" s="61" t="inlineStr">
        <is>
          <t>Total 5-year revenue (USD)</t>
        </is>
      </c>
      <c r="B4" s="80">
        <f>SUM('Annual P&amp;L Summary Y1-Y5'!B10:F10)</f>
        <v/>
      </c>
    </row>
    <row r="5">
      <c r="A5" s="61" t="inlineStr">
        <is>
          <t>Total 5-year net profit (USD)</t>
        </is>
      </c>
      <c r="B5" s="80">
        <f>SUM('Annual P&amp;L Summary Y1-Y5'!B27:F27)</f>
        <v/>
      </c>
    </row>
    <row r="6">
      <c r="A6" s="61" t="inlineStr">
        <is>
          <t>Year 1 revenue (USD)</t>
        </is>
      </c>
      <c r="B6" s="80">
        <f>'Annual P&amp;L Summary Y1-Y5'!B10</f>
        <v/>
      </c>
    </row>
    <row r="7">
      <c r="A7" s="61" t="inlineStr">
        <is>
          <t>Year 1 net profit (USD)</t>
        </is>
      </c>
      <c r="B7" s="80">
        <f>'Annual P&amp;L Summary Y1-Y5'!B27</f>
        <v/>
      </c>
    </row>
    <row r="8">
      <c r="A8" s="61" t="inlineStr">
        <is>
          <t>Year 5 net profit (USD)</t>
        </is>
      </c>
      <c r="B8" s="80">
        <f>'Annual P&amp;L Summary Y1-Y5'!F27</f>
        <v/>
      </c>
    </row>
    <row r="9">
      <c r="A9" s="61" t="inlineStr">
        <is>
          <t>Operating break-even</t>
        </is>
      </c>
      <c r="B9" s="81" t="inlineStr">
        <is>
          <t>Month 6 (Jan-27)</t>
        </is>
      </c>
    </row>
    <row r="10">
      <c r="A10" s="61" t="inlineStr">
        <is>
          <t>Cumulative break-even</t>
        </is>
      </c>
      <c r="B10" s="81" t="inlineStr">
        <is>
          <t>Month 6 (Jan-27)</t>
        </is>
      </c>
    </row>
    <row r="11">
      <c r="A11" s="61" t="inlineStr">
        <is>
          <t>Peak self-funded cash deficit (USD)</t>
        </is>
      </c>
      <c r="B11" s="80" t="n">
        <v>915603</v>
      </c>
    </row>
    <row r="12">
      <c r="A12" s="61" t="inlineStr">
        <is>
          <t>Year-1 ending cash with raise (USD)</t>
        </is>
      </c>
      <c r="B12" s="80" t="n">
        <v>1708073</v>
      </c>
    </row>
    <row r="13">
      <c r="A13" s="61" t="inlineStr">
        <is>
          <t>Year-5 closing cash (USD)</t>
        </is>
      </c>
      <c r="B13" s="80" t="n">
        <v>5767565</v>
      </c>
    </row>
    <row r="14">
      <c r="A14" s="61" t="inlineStr">
        <is>
          <t>Investment (USD, for 50% of NORCO Egypt)</t>
        </is>
      </c>
      <c r="B14" s="80" t="n">
        <v>1000000</v>
      </c>
    </row>
    <row r="15">
      <c r="A15" s="61" t="inlineStr">
        <is>
          <t>Investor IRR (dividends + terminal)</t>
        </is>
      </c>
      <c r="B15" s="82" t="n">
        <v>0.694</v>
      </c>
    </row>
    <row r="16">
      <c r="A16" s="61" t="inlineStr">
        <is>
          <t>Investor MOIC (dividends + terminal)</t>
        </is>
      </c>
      <c r="B16" s="83" t="n">
        <v>9.960000000000001</v>
      </c>
    </row>
    <row r="17">
      <c r="A17" s="61" t="inlineStr">
        <is>
          <t>Investor IRR / MOIC (dividends only)</t>
        </is>
      </c>
      <c r="B17" s="82" t="n">
        <v>0.4</v>
      </c>
    </row>
    <row r="18">
      <c r="A18" s="61" t="inlineStr">
        <is>
          <t>Founder pre-operational investment (USD)</t>
        </is>
      </c>
      <c r="B18" s="80" t="n">
        <v>14517</v>
      </c>
    </row>
    <row r="20">
      <c r="A20" s="84" t="inlineStr">
        <is>
          <t>Chart data (USD)</t>
        </is>
      </c>
    </row>
    <row r="21">
      <c r="A21" s="85" t="inlineStr">
        <is>
          <t>Year</t>
        </is>
      </c>
      <c r="B21" s="86" t="inlineStr">
        <is>
          <t>Y1</t>
        </is>
      </c>
      <c r="C21" s="86" t="inlineStr">
        <is>
          <t>Y2</t>
        </is>
      </c>
      <c r="D21" s="86" t="inlineStr">
        <is>
          <t>Y3</t>
        </is>
      </c>
      <c r="E21" s="86" t="inlineStr">
        <is>
          <t>Y4</t>
        </is>
      </c>
      <c r="F21" s="86" t="inlineStr">
        <is>
          <t>Y5</t>
        </is>
      </c>
    </row>
    <row r="22">
      <c r="A22" s="87" t="inlineStr">
        <is>
          <t>Revenue</t>
        </is>
      </c>
      <c r="B22" s="88" t="n">
        <v>5356510</v>
      </c>
      <c r="C22" s="88" t="n">
        <v>8003813</v>
      </c>
      <c r="D22" s="88" t="n">
        <v>9604575</v>
      </c>
      <c r="E22" s="88" t="n">
        <v>11525489</v>
      </c>
      <c r="F22" s="88" t="n">
        <v>13830588</v>
      </c>
    </row>
    <row r="23">
      <c r="A23" s="87" t="inlineStr">
        <is>
          <t>Gross profit</t>
        </is>
      </c>
      <c r="B23" s="88" t="n">
        <v>1924405</v>
      </c>
      <c r="C23" s="88" t="n">
        <v>3097286</v>
      </c>
      <c r="D23" s="88" t="n">
        <v>3716743</v>
      </c>
      <c r="E23" s="88" t="n">
        <v>4460092</v>
      </c>
      <c r="F23" s="88" t="n">
        <v>5352110</v>
      </c>
    </row>
    <row r="24">
      <c r="A24" s="87" t="inlineStr">
        <is>
          <t>Net profit</t>
        </is>
      </c>
      <c r="B24" s="88" t="n">
        <v>897753</v>
      </c>
      <c r="C24" s="88" t="n">
        <v>1665918</v>
      </c>
      <c r="D24" s="88" t="n">
        <v>1957862</v>
      </c>
      <c r="E24" s="88" t="n">
        <v>2295484</v>
      </c>
      <c r="F24" s="88" t="n">
        <v>2621979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2026-07-18T11:37:04Z</dcterms:created>
  <dcterms:modified xmlns:dcterms="http://purl.org/dc/terms/" xmlns:xsi="http://www.w3.org/2001/XMLSchema-instance" xsi:type="dcterms:W3CDTF">2026-07-18T11:37:04Z</dcterms:modified>
</cp:coreProperties>
</file>