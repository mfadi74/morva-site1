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Consolidated P&amp;L" sheetId="3" state="visible" r:id="rId3"/>
    <sheet xmlns:r="http://schemas.openxmlformats.org/officeDocument/2006/relationships" name="Revenue Detail" sheetId="4" state="visible" r:id="rId4"/>
    <sheet xmlns:r="http://schemas.openxmlformats.org/officeDocument/2006/relationships" name="Al Reem Catalogue" sheetId="5" state="visible" r:id="rId5"/>
    <sheet xmlns:r="http://schemas.openxmlformats.org/officeDocument/2006/relationships" name="Cash Flow" sheetId="6" state="visible" r:id="rId6"/>
    <sheet xmlns:r="http://schemas.openxmlformats.org/officeDocument/2006/relationships" name="Funding &amp; Returns" sheetId="7" state="visible" r:id="rId7"/>
    <sheet xmlns:r="http://schemas.openxmlformats.org/officeDocument/2006/relationships" name="Shareholding" sheetId="8" state="visible" r:id="rId8"/>
    <sheet xmlns:r="http://schemas.openxmlformats.org/officeDocument/2006/relationships" name="Dashbo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&quot;x&quot;"/>
    <numFmt numFmtId="166" formatCode="#,##0;(#,##0)"/>
    <numFmt numFmtId="167" formatCode="0.00&quot;x&quot;"/>
  </numFmts>
  <fonts count="19">
    <font>
      <name val="Calibri"/>
      <family val="2"/>
      <color theme="1"/>
      <sz val="11"/>
      <scheme val="minor"/>
    </font>
    <font>
      <name val="Calibri"/>
      <b val="1"/>
      <color rgb="000F2942"/>
      <sz val="15"/>
    </font>
    <font>
      <name val="Calibri"/>
      <color rgb="005C5B57"/>
      <sz val="10"/>
    </font>
    <font>
      <name val="Calibri"/>
      <b val="1"/>
      <color rgb="000F2942"/>
      <sz val="10"/>
    </font>
    <font>
      <name val="Calibri"/>
      <color rgb="001A1A19"/>
      <sz val="10"/>
    </font>
    <font>
      <name val="Calibri"/>
      <b val="1"/>
      <color rgb="00FFFFFF"/>
      <sz val="9.5"/>
    </font>
    <font>
      <name val="Calibri"/>
      <b val="1"/>
      <color rgb="000F6E6A"/>
      <sz val="10"/>
    </font>
    <font>
      <name val="Calibri"/>
      <color rgb="002A78D6"/>
      <sz val="10"/>
    </font>
    <font>
      <name val="Calibri"/>
      <color rgb="005C5B57"/>
      <sz val="9"/>
    </font>
    <font>
      <name val="Calibri"/>
      <b val="1"/>
      <color rgb="000F2942"/>
      <sz val="11"/>
    </font>
    <font>
      <name val="Calibri"/>
      <color rgb="001A1A19"/>
      <sz val="9.5"/>
    </font>
    <font>
      <name val="Calibri"/>
      <color rgb="005C5B57"/>
      <sz val="9.5"/>
    </font>
    <font>
      <name val="Calibri"/>
      <b val="1"/>
      <color rgb="000F6E6A"/>
      <sz val="9"/>
    </font>
    <font>
      <name val="Calibri"/>
      <b val="1"/>
      <color rgb="000F6E6A"/>
      <sz val="11"/>
    </font>
    <font>
      <name val="Calibri"/>
      <b val="1"/>
      <color rgb="00C8892A"/>
      <sz val="10"/>
    </font>
    <font>
      <name val="Calibri"/>
      <b val="1"/>
      <color rgb="00C8892A"/>
      <sz val="11"/>
    </font>
    <font>
      <name val="Calibri"/>
      <b val="1"/>
      <color rgb="005C5B57"/>
      <sz val="9"/>
    </font>
    <font>
      <name val="Calibri"/>
      <b val="1"/>
      <color rgb="001A1A19"/>
      <sz val="9"/>
    </font>
    <font>
      <name val="Calibri"/>
      <color rgb="001A1A19"/>
      <sz val="9"/>
    </font>
  </fonts>
  <fills count="7">
    <fill>
      <patternFill/>
    </fill>
    <fill>
      <patternFill patternType="gray125"/>
    </fill>
    <fill>
      <patternFill patternType="solid">
        <fgColor rgb="000F2942"/>
      </patternFill>
    </fill>
    <fill>
      <patternFill patternType="solid">
        <fgColor rgb="00F3F5F7"/>
      </patternFill>
    </fill>
    <fill>
      <patternFill patternType="solid">
        <fgColor rgb="00E9EDF0"/>
      </patternFill>
    </fill>
    <fill>
      <patternFill patternType="solid">
        <fgColor rgb="00FFF4DF"/>
      </patternFill>
    </fill>
    <fill>
      <patternFill patternType="solid">
        <fgColor rgb="000F6E6A"/>
      </patternFill>
    </fill>
  </fills>
  <borders count="2">
    <border>
      <left/>
      <right/>
      <top/>
      <bottom/>
      <diagonal/>
    </border>
    <border>
      <left style="thin">
        <color rgb="00D8DCE0"/>
      </left>
      <right style="thin">
        <color rgb="00D8DCE0"/>
      </right>
      <top style="thin">
        <color rgb="00D8DCE0"/>
      </top>
      <bottom style="thin">
        <color rgb="00D8DCE0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0" pivotButton="0" quotePrefix="0" xfId="0"/>
    <xf numFmtId="0" fontId="0" fillId="3" borderId="0" pivotButton="0" quotePrefix="0" xfId="0"/>
    <xf numFmtId="0" fontId="4" fillId="0" borderId="1" pivotButton="0" quotePrefix="0" xfId="0"/>
    <xf numFmtId="3" fontId="7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right" vertical="center"/>
    </xf>
    <xf numFmtId="0" fontId="8" fillId="0" borderId="1" pivotButton="0" quotePrefix="0" xfId="0"/>
    <xf numFmtId="165" fontId="7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3" fontId="3" fillId="4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3" fillId="0" borderId="1" pivotButton="0" quotePrefix="0" xfId="0"/>
    <xf numFmtId="3" fontId="3" fillId="0" borderId="1" applyAlignment="1" pivotButton="0" quotePrefix="0" xfId="0">
      <alignment horizontal="right" vertical="center"/>
    </xf>
    <xf numFmtId="0" fontId="3" fillId="5" borderId="1" pivotButton="0" quotePrefix="0" xfId="0"/>
    <xf numFmtId="3" fontId="3" fillId="5" borderId="1" applyAlignment="1" pivotButton="0" quotePrefix="0" xfId="0">
      <alignment horizontal="right" vertical="center"/>
    </xf>
    <xf numFmtId="0" fontId="9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right" vertical="center"/>
    </xf>
    <xf numFmtId="1" fontId="3" fillId="4" borderId="1" applyAlignment="1" pivotButton="0" quotePrefix="0" xfId="0">
      <alignment horizontal="right" vertical="center"/>
    </xf>
    <xf numFmtId="0" fontId="10" fillId="0" borderId="1" pivotButton="0" quotePrefix="0" xfId="0"/>
    <xf numFmtId="2" fontId="10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right" vertical="center"/>
    </xf>
    <xf numFmtId="0" fontId="11" fillId="0" borderId="1" pivotButton="0" quotePrefix="0" xfId="0"/>
    <xf numFmtId="0" fontId="12" fillId="0" borderId="0" pivotButton="0" quotePrefix="0" xfId="0"/>
    <xf numFmtId="166" fontId="4" fillId="0" borderId="1" applyAlignment="1" pivotButton="0" quotePrefix="0" xfId="0">
      <alignment horizontal="right" vertical="center"/>
    </xf>
    <xf numFmtId="166" fontId="3" fillId="4" borderId="1" applyAlignment="1" pivotButton="0" quotePrefix="0" xfId="0">
      <alignment horizontal="right" vertical="center"/>
    </xf>
    <xf numFmtId="0" fontId="13" fillId="0" borderId="0" pivotButton="0" quotePrefix="0" xfId="0"/>
    <xf numFmtId="3" fontId="10" fillId="0" borderId="1" applyAlignment="1" pivotButton="0" quotePrefix="0" xfId="0">
      <alignment horizontal="right" vertical="center"/>
    </xf>
    <xf numFmtId="0" fontId="10" fillId="0" borderId="1" applyAlignment="1" pivotButton="0" quotePrefix="0" xfId="0">
      <alignment horizontal="left" vertical="center" wrapText="1"/>
    </xf>
    <xf numFmtId="0" fontId="0" fillId="4" borderId="0" pivotButton="0" quotePrefix="0" xfId="0"/>
    <xf numFmtId="0" fontId="14" fillId="0" borderId="1" pivotButton="0" quotePrefix="0" xfId="0"/>
    <xf numFmtId="164" fontId="15" fillId="0" borderId="1" applyAlignment="1" pivotButton="0" quotePrefix="0" xfId="0">
      <alignment horizontal="right" vertical="center"/>
    </xf>
    <xf numFmtId="167" fontId="15" fillId="0" borderId="1" applyAlignment="1" pivotButton="0" quotePrefix="0" xfId="0">
      <alignment horizontal="right" vertical="center"/>
    </xf>
    <xf numFmtId="9" fontId="4" fillId="0" borderId="1" applyAlignment="1" pivotButton="0" quotePrefix="0" xfId="0">
      <alignment horizontal="right" vertical="center"/>
    </xf>
    <xf numFmtId="9" fontId="3" fillId="4" borderId="1" applyAlignment="1" pivotButton="0" quotePrefix="0" xfId="0">
      <alignment horizontal="right" vertical="center"/>
    </xf>
    <xf numFmtId="3" fontId="13" fillId="0" borderId="1" applyAlignment="1" pivotButton="0" quotePrefix="0" xfId="0">
      <alignment horizontal="right" vertical="center"/>
    </xf>
    <xf numFmtId="0" fontId="16" fillId="0" borderId="0" pivotButton="0" quotePrefix="0" xfId="0"/>
    <xf numFmtId="0" fontId="17" fillId="0" borderId="0" pivotButton="0" quotePrefix="0" xfId="0"/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3" fontId="1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Group revenue by division (USD 000)</a:t>
            </a:r>
          </a:p>
        </rich>
      </tx>
    </title>
    <plotArea>
      <barChart>
        <barDir val="col"/>
        <grouping val="stacked"/>
        <ser>
          <idx val="0"/>
          <order val="0"/>
          <tx>
            <v>Vestwoods</v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'Dashboard'!$B$15:$F$15</f>
            </numRef>
          </cat>
          <val>
            <numRef>
              <f>'Dashboard'!$B$16:$F$16</f>
            </numRef>
          </val>
        </ser>
        <ser>
          <idx val="1"/>
          <order val="1"/>
          <tx>
            <v>Al Reem Plastics</v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prstDash val="solid"/>
            </a:ln>
          </spPr>
          <cat>
            <numRef>
              <f>'Dashboard'!$B$15:$F$15</f>
            </numRef>
          </cat>
          <val>
            <numRef>
              <f>'Dashboard'!$B$17:$F$17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000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Group net profit (USD 000)</a:t>
            </a:r>
          </a:p>
        </rich>
      </tx>
    </title>
    <plotArea>
      <lineChart>
        <grouping val="standard"/>
        <ser>
          <idx val="0"/>
          <order val="0"/>
          <tx>
            <v>Net profit</v>
          </tx>
          <spPr>
            <a:ln xmlns:a="http://schemas.openxmlformats.org/drawingml/2006/main" w="28000">
              <a:solidFill>
                <a:srgbClr val="C8892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'Dashboard'!$B$15:$F$15</f>
            </numRef>
          </cat>
          <val>
            <numRef>
              <f>'Dashboard'!$B$18:$F$18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19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22" customHeight="1">
      <c r="A1" s="1" t="inlineStr">
        <is>
          <t>NORCO General Trading L.L.C. — Group Investor Model</t>
        </is>
      </c>
    </row>
    <row r="2">
      <c r="A2" s="2" t="inlineStr">
        <is>
          <t>Vestwoods (energy storage) + Al Reem Plastics (houseware) | Egypt · Sudan · Libya · Algeria | Aug 2026 – Jul 2031</t>
        </is>
      </c>
    </row>
    <row r="4" ht="30" customHeight="1">
      <c r="A4" s="3" t="inlineStr">
        <is>
          <t>Purpose</t>
        </is>
      </c>
      <c r="B4" s="4" t="inlineStr">
        <is>
          <t>Investor-grade 5-year model for NORCO's two-division distribution platform. All figures USD; Vestwoods in USD 000, Al Reem built from verified per-unit economics.</t>
        </is>
      </c>
    </row>
    <row r="5" ht="30" customHeight="1">
      <c r="A5" s="3" t="inlineStr">
        <is>
          <t>Divisions</t>
        </is>
      </c>
      <c r="B5" s="4" t="inlineStr">
        <is>
          <t>Vestwoods = exclusive Haier Energy lithium BESS agency (Business Plan V4). Al Reem Plastics = 147-SKU premium houseware range from Türkiye (April-2026 costed catalogue).</t>
        </is>
      </c>
    </row>
    <row r="6" ht="30" customHeight="1">
      <c r="A6" s="3" t="inlineStr">
        <is>
          <t>Investment ask</t>
        </is>
      </c>
      <c r="B6" s="4" t="inlineStr">
        <is>
          <t>USD 2,000,000 core raise in 3 milestone-gated tranches (band USD 1.0M–2.5M). Fully deployable within 18 months of the Aug-2026 start.</t>
        </is>
      </c>
    </row>
    <row r="7" ht="30" customHeight="1">
      <c r="A7" s="3" t="inlineStr">
        <is>
          <t>Currency &amp; FX</t>
        </is>
      </c>
      <c r="B7" s="4" t="inlineStr">
        <is>
          <t>USD throughout. Planning rate USD 1 = EGP 53 (NORCO pricelist Jun-2026; spot ~49–51 — conservative).</t>
        </is>
      </c>
    </row>
    <row r="8" ht="30" customHeight="1">
      <c r="A8" s="3" t="inlineStr">
        <is>
          <t>Tax</t>
        </is>
      </c>
      <c r="B8" s="4" t="inlineStr">
        <is>
          <t>Corporate income tax 22.5% on net profit. Renewable-energy CIT incentive possible (GOEI/NREA) — not assumed.</t>
        </is>
      </c>
    </row>
    <row r="9" ht="30" customHeight="1">
      <c r="A9" s="3" t="inlineStr">
        <is>
          <t>Colour code</t>
        </is>
      </c>
      <c r="B9" s="4" t="inlineStr">
        <is>
          <t>Blue text = input assumption you can change. Black = formula-driven.</t>
        </is>
      </c>
    </row>
    <row r="10" ht="30" customHeight="1">
      <c r="A10" s="3" t="inlineStr">
        <is>
          <t>Sheets</t>
        </is>
      </c>
      <c r="B10" s="4" t="inlineStr">
        <is>
          <t>Assumptions | Consolidated P&amp;L | Revenue Detail | Al Reem Catalogue | Cash Flow | Funding &amp; Returns | Shareholding | Dashboard</t>
        </is>
      </c>
    </row>
    <row r="11" ht="30" customHeight="1">
      <c r="A11" s="3" t="inlineStr">
        <is>
          <t>Confidentiality</t>
        </is>
      </c>
      <c r="B11" s="4" t="inlineStr">
        <is>
          <t>Strictly Private &amp; Confidential. Prepared by Fadi Jannan, Managing Director — 14 July 2026, Version 5.0 (Group).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</cols>
  <sheetData>
    <row r="1" ht="22" customHeight="1">
      <c r="A1" s="1" t="inlineStr">
        <is>
          <t>Key Assumptions</t>
        </is>
      </c>
    </row>
    <row r="2">
      <c r="A2" s="2" t="inlineStr">
        <is>
          <t>Blue = input you can change; drives every downstream sheet</t>
        </is>
      </c>
    </row>
    <row r="4">
      <c r="A4" s="5" t="inlineStr">
        <is>
          <t>Driver (USD 000 unless noted)</t>
        </is>
      </c>
      <c r="B4" s="6" t="inlineStr">
        <is>
          <t>Year 1</t>
        </is>
      </c>
      <c r="C4" s="6" t="inlineStr">
        <is>
          <t>Year 2</t>
        </is>
      </c>
      <c r="D4" s="6" t="inlineStr">
        <is>
          <t>Year 3</t>
        </is>
      </c>
      <c r="E4" s="6" t="inlineStr">
        <is>
          <t>Year 4</t>
        </is>
      </c>
      <c r="F4" s="6" t="inlineStr">
        <is>
          <t>Year 5</t>
        </is>
      </c>
      <c r="G4" s="6" t="inlineStr">
        <is>
          <t>Notes</t>
        </is>
      </c>
    </row>
    <row r="5">
      <c r="A5" s="7" t="inlineStr">
        <is>
          <t>► VESTWOODS — revenue by market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Egypt revenue</t>
        </is>
      </c>
      <c r="B6" s="10" t="n">
        <v>4232</v>
      </c>
      <c r="C6" s="10" t="n">
        <v>5814</v>
      </c>
      <c r="D6" s="10" t="n">
        <v>8243</v>
      </c>
      <c r="E6" s="10" t="n">
        <v>11603</v>
      </c>
      <c r="F6" s="10" t="n">
        <v>16257</v>
      </c>
      <c r="G6" s="11" t="inlineStr">
        <is>
          <t>12 → 40 containers</t>
        </is>
      </c>
    </row>
    <row r="7">
      <c r="A7" s="9" t="inlineStr">
        <is>
          <t>Sudan revenue</t>
        </is>
      </c>
      <c r="B7" s="10" t="n">
        <v>1279</v>
      </c>
      <c r="C7" s="10" t="n">
        <v>2238</v>
      </c>
      <c r="D7" s="10" t="n">
        <v>3517</v>
      </c>
      <c r="E7" s="10" t="n">
        <v>4796</v>
      </c>
      <c r="F7" s="10" t="n">
        <v>6395</v>
      </c>
      <c r="G7" s="11" t="inlineStr">
        <is>
          <t>committed buyer; 4 → 20 containers</t>
        </is>
      </c>
    </row>
    <row r="8">
      <c r="A8" s="9" t="inlineStr">
        <is>
          <t>Libya revenue</t>
        </is>
      </c>
      <c r="B8" s="10" t="n">
        <v>0</v>
      </c>
      <c r="C8" s="10" t="n">
        <v>500</v>
      </c>
      <c r="D8" s="10" t="n">
        <v>900</v>
      </c>
      <c r="E8" s="10" t="n">
        <v>1400</v>
      </c>
      <c r="F8" s="10" t="n">
        <v>2000</v>
      </c>
      <c r="G8" s="11" t="inlineStr">
        <is>
          <t>from Year 2; 2 → 7 containers</t>
        </is>
      </c>
    </row>
    <row r="9">
      <c r="A9" s="9" t="inlineStr">
        <is>
          <t>Algeria revenue</t>
        </is>
      </c>
      <c r="B9" s="10" t="n">
        <v>300</v>
      </c>
      <c r="C9" s="10" t="n">
        <v>900</v>
      </c>
      <c r="D9" s="10" t="n">
        <v>1600</v>
      </c>
      <c r="E9" s="10" t="n">
        <v>2200</v>
      </c>
      <c r="F9" s="10" t="n">
        <v>2800</v>
      </c>
      <c r="G9" s="11" t="inlineStr">
        <is>
          <t>from end-Y1; 1 → 9 containers</t>
        </is>
      </c>
    </row>
    <row r="10">
      <c r="A10" s="9" t="inlineStr">
        <is>
          <t>Vestwoods gross margin %</t>
        </is>
      </c>
      <c r="B10" s="12" t="n">
        <v>0.2974</v>
      </c>
      <c r="C10" s="12" t="n">
        <v>0.2833</v>
      </c>
      <c r="D10" s="12" t="n">
        <v>0.2867</v>
      </c>
      <c r="E10" s="12" t="n">
        <v>0.2957</v>
      </c>
      <c r="F10" s="12" t="n">
        <v>0.311</v>
      </c>
      <c r="G10" s="11" t="inlineStr">
        <is>
          <t>blended retail/wholesale/export</t>
        </is>
      </c>
    </row>
    <row r="11">
      <c r="A11" s="9" t="inlineStr">
        <is>
          <t>Vestwoods operating expenses</t>
        </is>
      </c>
      <c r="B11" s="10" t="n">
        <v>784</v>
      </c>
      <c r="C11" s="10" t="n">
        <v>1144</v>
      </c>
      <c r="D11" s="10" t="n">
        <v>1546</v>
      </c>
      <c r="E11" s="10" t="n">
        <v>1998</v>
      </c>
      <c r="F11" s="10" t="n">
        <v>2812</v>
      </c>
      <c r="G11" s="11" t="inlineStr">
        <is>
          <t>personnel, rent, marketing, G&amp;A</t>
        </is>
      </c>
    </row>
    <row r="12">
      <c r="A12" s="7" t="inlineStr">
        <is>
          <t>► AL REEM PLASTICS — houseware</t>
        </is>
      </c>
      <c r="B12" s="8" t="n"/>
      <c r="C12" s="8" t="n"/>
      <c r="D12" s="8" t="n"/>
      <c r="E12" s="8" t="n"/>
      <c r="F12" s="8" t="n"/>
      <c r="G12" s="8" t="n"/>
    </row>
    <row r="13">
      <c r="A13" s="9" t="inlineStr">
        <is>
          <t>Al Reem revenue</t>
        </is>
      </c>
      <c r="B13" s="10" t="n">
        <v>1800</v>
      </c>
      <c r="C13" s="10" t="n">
        <v>3200</v>
      </c>
      <c r="D13" s="10" t="n">
        <v>4800</v>
      </c>
      <c r="E13" s="10" t="n">
        <v>6400</v>
      </c>
      <c r="F13" s="10" t="n">
        <v>8200</v>
      </c>
      <c r="G13" s="11" t="inlineStr">
        <is>
          <t>houseware; Egypt + export</t>
        </is>
      </c>
    </row>
    <row r="14">
      <c r="A14" s="9" t="inlineStr">
        <is>
          <t>Al Reem gross margin %</t>
        </is>
      </c>
      <c r="B14" s="12" t="n">
        <v>0.19</v>
      </c>
      <c r="C14" s="12" t="n">
        <v>0.2</v>
      </c>
      <c r="D14" s="12" t="n">
        <v>0.21</v>
      </c>
      <c r="E14" s="12" t="n">
        <v>0.22</v>
      </c>
      <c r="F14" s="12" t="n">
        <v>0.23</v>
      </c>
      <c r="G14" s="11" t="inlineStr">
        <is>
          <t>19% (Y1) → 23% (Y5); catalogue-verified</t>
        </is>
      </c>
    </row>
    <row r="15">
      <c r="A15" s="9" t="inlineStr">
        <is>
          <t>Al Reem incremental opex</t>
        </is>
      </c>
      <c r="B15" s="10" t="n">
        <v>180</v>
      </c>
      <c r="C15" s="10" t="n">
        <v>280</v>
      </c>
      <c r="D15" s="10" t="n">
        <v>400</v>
      </c>
      <c r="E15" s="10" t="n">
        <v>540</v>
      </c>
      <c r="F15" s="10" t="n">
        <v>700</v>
      </c>
      <c r="G15" s="11" t="inlineStr">
        <is>
          <t>sales desk, extra warehouse, logistics</t>
        </is>
      </c>
    </row>
    <row r="16">
      <c r="A16" s="7" t="inlineStr">
        <is>
          <t>► GROUP</t>
        </is>
      </c>
      <c r="B16" s="8" t="n"/>
      <c r="C16" s="8" t="n"/>
      <c r="D16" s="8" t="n"/>
      <c r="E16" s="8" t="n"/>
      <c r="F16" s="8" t="n"/>
      <c r="G16" s="8" t="n"/>
    </row>
    <row r="17">
      <c r="A17" s="9" t="inlineStr">
        <is>
          <t>Corporate tax rate</t>
        </is>
      </c>
      <c r="B17" s="12" t="n">
        <v>0.225</v>
      </c>
      <c r="C17" s="12" t="n">
        <v>0.225</v>
      </c>
      <c r="D17" s="12" t="n">
        <v>0.225</v>
      </c>
      <c r="E17" s="12" t="n">
        <v>0.225</v>
      </c>
      <c r="F17" s="12" t="n">
        <v>0.225</v>
      </c>
      <c r="G17" s="11" t="inlineStr">
        <is>
          <t>22.5% on net profit</t>
        </is>
      </c>
    </row>
    <row r="18">
      <c r="A18" s="7" t="inlineStr">
        <is>
          <t>► FUNDING</t>
        </is>
      </c>
      <c r="B18" s="8" t="n"/>
      <c r="C18" s="8" t="n"/>
      <c r="D18" s="8" t="n"/>
      <c r="E18" s="8" t="n"/>
      <c r="F18" s="8" t="n"/>
      <c r="G18" s="8" t="n"/>
    </row>
    <row r="19">
      <c r="A19" s="9" t="inlineStr">
        <is>
          <t>Core raise (USD 000)</t>
        </is>
      </c>
      <c r="B19" s="10" t="n">
        <v>2000</v>
      </c>
      <c r="G19" s="13" t="inlineStr">
        <is>
          <t>band 1,000 – 2,500</t>
        </is>
      </c>
    </row>
    <row r="20">
      <c r="A20" s="9" t="inlineStr">
        <is>
          <t>Terminal equity multiple (× Y5 net profit)</t>
        </is>
      </c>
      <c r="B20" s="14" t="n">
        <v>5</v>
      </c>
      <c r="G20" s="13" t="inlineStr">
        <is>
          <t>for Option A equity valuation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2" customHeight="1">
      <c r="A1" s="1" t="inlineStr">
        <is>
          <t>Consolidated 5-Year P&amp;L (USD 000)</t>
        </is>
      </c>
    </row>
    <row r="2">
      <c r="A2" s="2" t="inlineStr">
        <is>
          <t>Formula-driven from the Assumptions sheet</t>
        </is>
      </c>
    </row>
    <row r="4">
      <c r="A4" s="5" t="inlineStr">
        <is>
          <t>Description</t>
        </is>
      </c>
      <c r="B4" s="6" t="inlineStr">
        <is>
          <t>Year 1</t>
        </is>
      </c>
      <c r="C4" s="6" t="inlineStr">
        <is>
          <t>Year 2</t>
        </is>
      </c>
      <c r="D4" s="6" t="inlineStr">
        <is>
          <t>Year 3</t>
        </is>
      </c>
      <c r="E4" s="6" t="inlineStr">
        <is>
          <t>Year 4</t>
        </is>
      </c>
      <c r="F4" s="6" t="inlineStr">
        <is>
          <t>Year 5</t>
        </is>
      </c>
    </row>
    <row r="5">
      <c r="A5" s="9" t="inlineStr">
        <is>
          <t>Vestwoods revenue</t>
        </is>
      </c>
      <c r="B5" s="15">
        <f>SUM(Assumptions!B6,Assumptions!B7,Assumptions!B8,Assumptions!B9)</f>
        <v/>
      </c>
      <c r="C5" s="15">
        <f>SUM(Assumptions!C6,Assumptions!C7,Assumptions!C8,Assumptions!C9)</f>
        <v/>
      </c>
      <c r="D5" s="15">
        <f>SUM(Assumptions!D6,Assumptions!D7,Assumptions!D8,Assumptions!D9)</f>
        <v/>
      </c>
      <c r="E5" s="15">
        <f>SUM(Assumptions!E6,Assumptions!E7,Assumptions!E8,Assumptions!E9)</f>
        <v/>
      </c>
      <c r="F5" s="15">
        <f>SUM(Assumptions!F6,Assumptions!F7,Assumptions!F8,Assumptions!F9)</f>
        <v/>
      </c>
    </row>
    <row r="6">
      <c r="A6" s="9" t="inlineStr">
        <is>
          <t>Al Reem Plastics revenue</t>
        </is>
      </c>
      <c r="B6" s="15">
        <f>Assumptions!B13</f>
        <v/>
      </c>
      <c r="C6" s="15">
        <f>Assumptions!C13</f>
        <v/>
      </c>
      <c r="D6" s="15">
        <f>Assumptions!D13</f>
        <v/>
      </c>
      <c r="E6" s="15">
        <f>Assumptions!E13</f>
        <v/>
      </c>
      <c r="F6" s="15">
        <f>Assumptions!F13</f>
        <v/>
      </c>
    </row>
    <row r="7">
      <c r="A7" s="16" t="inlineStr">
        <is>
          <t>Total revenue</t>
        </is>
      </c>
      <c r="B7" s="17">
        <f>B5+B6</f>
        <v/>
      </c>
      <c r="C7" s="17">
        <f>C5+C6</f>
        <v/>
      </c>
      <c r="D7" s="17">
        <f>D5+D6</f>
        <v/>
      </c>
      <c r="E7" s="17">
        <f>E5+E6</f>
        <v/>
      </c>
      <c r="F7" s="17">
        <f>F5+F6</f>
        <v/>
      </c>
    </row>
    <row r="8">
      <c r="A8" s="9" t="inlineStr">
        <is>
          <t>Vestwoods gross profit</t>
        </is>
      </c>
      <c r="B8" s="15">
        <f>B5*Assumptions!B10</f>
        <v/>
      </c>
      <c r="C8" s="15">
        <f>C5*Assumptions!C10</f>
        <v/>
      </c>
      <c r="D8" s="15">
        <f>D5*Assumptions!D10</f>
        <v/>
      </c>
      <c r="E8" s="15">
        <f>E5*Assumptions!E10</f>
        <v/>
      </c>
      <c r="F8" s="15">
        <f>F5*Assumptions!F10</f>
        <v/>
      </c>
    </row>
    <row r="9">
      <c r="A9" s="9" t="inlineStr">
        <is>
          <t>Al Reem gross profit</t>
        </is>
      </c>
      <c r="B9" s="15">
        <f>B6*Assumptions!B14</f>
        <v/>
      </c>
      <c r="C9" s="15">
        <f>C6*Assumptions!C14</f>
        <v/>
      </c>
      <c r="D9" s="15">
        <f>D6*Assumptions!D14</f>
        <v/>
      </c>
      <c r="E9" s="15">
        <f>E6*Assumptions!E14</f>
        <v/>
      </c>
      <c r="F9" s="15">
        <f>F6*Assumptions!F14</f>
        <v/>
      </c>
    </row>
    <row r="10">
      <c r="A10" s="16" t="inlineStr">
        <is>
          <t>Total gross profit</t>
        </is>
      </c>
      <c r="B10" s="17">
        <f>B8+B9</f>
        <v/>
      </c>
      <c r="C10" s="17">
        <f>C8+C9</f>
        <v/>
      </c>
      <c r="D10" s="17">
        <f>D8+D9</f>
        <v/>
      </c>
      <c r="E10" s="17">
        <f>E8+E9</f>
        <v/>
      </c>
      <c r="F10" s="17">
        <f>F8+F9</f>
        <v/>
      </c>
    </row>
    <row r="11">
      <c r="A11" s="9" t="inlineStr">
        <is>
          <t>Gross margin %</t>
        </is>
      </c>
      <c r="B11" s="18">
        <f>B10/B7</f>
        <v/>
      </c>
      <c r="C11" s="18">
        <f>C10/C7</f>
        <v/>
      </c>
      <c r="D11" s="18">
        <f>D10/D7</f>
        <v/>
      </c>
      <c r="E11" s="18">
        <f>E10/E7</f>
        <v/>
      </c>
      <c r="F11" s="18">
        <f>F10/F7</f>
        <v/>
      </c>
    </row>
    <row r="12">
      <c r="A12" s="9" t="inlineStr">
        <is>
          <t>Operating expenses</t>
        </is>
      </c>
      <c r="B12" s="15">
        <f>Assumptions!B11+Assumptions!B15</f>
        <v/>
      </c>
      <c r="C12" s="15">
        <f>Assumptions!C11+Assumptions!C15</f>
        <v/>
      </c>
      <c r="D12" s="15">
        <f>Assumptions!D11+Assumptions!D15</f>
        <v/>
      </c>
      <c r="E12" s="15">
        <f>Assumptions!E11+Assumptions!E15</f>
        <v/>
      </c>
      <c r="F12" s="15">
        <f>Assumptions!F11+Assumptions!F15</f>
        <v/>
      </c>
    </row>
    <row r="13">
      <c r="A13" s="19" t="inlineStr">
        <is>
          <t>EBIT (operating profit)</t>
        </is>
      </c>
      <c r="B13" s="20">
        <f>B10-B12</f>
        <v/>
      </c>
      <c r="C13" s="20">
        <f>C10-C12</f>
        <v/>
      </c>
      <c r="D13" s="20">
        <f>D10-D12</f>
        <v/>
      </c>
      <c r="E13" s="20">
        <f>E10-E12</f>
        <v/>
      </c>
      <c r="F13" s="20">
        <f>F10-F12</f>
        <v/>
      </c>
    </row>
    <row r="14">
      <c r="A14" s="9" t="inlineStr">
        <is>
          <t>EBIT margin %</t>
        </is>
      </c>
      <c r="B14" s="18">
        <f>B13/B7</f>
        <v/>
      </c>
      <c r="C14" s="18">
        <f>C13/C7</f>
        <v/>
      </c>
      <c r="D14" s="18">
        <f>D13/D7</f>
        <v/>
      </c>
      <c r="E14" s="18">
        <f>E13/E7</f>
        <v/>
      </c>
      <c r="F14" s="18">
        <f>F13/F7</f>
        <v/>
      </c>
    </row>
    <row r="15">
      <c r="A15" s="9" t="inlineStr">
        <is>
          <t>Corporate tax (22.5%)</t>
        </is>
      </c>
      <c r="B15" s="15">
        <f>MAX(0,B13)*Assumptions!B17</f>
        <v/>
      </c>
      <c r="C15" s="15">
        <f>MAX(0,C13)*Assumptions!C17</f>
        <v/>
      </c>
      <c r="D15" s="15">
        <f>MAX(0,D13)*Assumptions!D17</f>
        <v/>
      </c>
      <c r="E15" s="15">
        <f>MAX(0,E13)*Assumptions!E17</f>
        <v/>
      </c>
      <c r="F15" s="15">
        <f>MAX(0,F13)*Assumptions!F17</f>
        <v/>
      </c>
    </row>
    <row r="16">
      <c r="A16" s="21" t="inlineStr">
        <is>
          <t>Net profit</t>
        </is>
      </c>
      <c r="B16" s="22">
        <f>B13-B15</f>
        <v/>
      </c>
      <c r="C16" s="22">
        <f>C13-C15</f>
        <v/>
      </c>
      <c r="D16" s="22">
        <f>D13-D15</f>
        <v/>
      </c>
      <c r="E16" s="22">
        <f>E13-E15</f>
        <v/>
      </c>
      <c r="F16" s="22">
        <f>F13-F15</f>
        <v/>
      </c>
    </row>
    <row r="17">
      <c r="A17" s="9" t="inlineStr">
        <is>
          <t>Net margin %</t>
        </is>
      </c>
      <c r="B17" s="18">
        <f>B16/B7</f>
        <v/>
      </c>
      <c r="C17" s="18">
        <f>C16/C7</f>
        <v/>
      </c>
      <c r="D17" s="18">
        <f>D16/D7</f>
        <v/>
      </c>
      <c r="E17" s="18">
        <f>E16/E7</f>
        <v/>
      </c>
      <c r="F17" s="18">
        <f>F16/F7</f>
        <v/>
      </c>
    </row>
    <row r="18">
      <c r="A18" s="9" t="inlineStr">
        <is>
          <t>Cumulative net profit</t>
        </is>
      </c>
      <c r="B18" s="15">
        <f>B16</f>
        <v/>
      </c>
      <c r="C18" s="15">
        <f>B18+C16</f>
        <v/>
      </c>
      <c r="D18" s="15">
        <f>C18+D16</f>
        <v/>
      </c>
      <c r="E18" s="15">
        <f>D18+E16</f>
        <v/>
      </c>
      <c r="F18" s="15">
        <f>E18+F16</f>
        <v/>
      </c>
    </row>
    <row r="20">
      <c r="A20" s="23" t="inlineStr">
        <is>
          <t>5-YEAR TOTALS</t>
        </is>
      </c>
    </row>
    <row r="21">
      <c r="A21" s="19" t="inlineStr">
        <is>
          <t>Total revenue</t>
        </is>
      </c>
      <c r="B21" s="20">
        <f>SUM(B7:F7)</f>
        <v/>
      </c>
      <c r="C21" s="24" t="inlineStr">
        <is>
          <t>USD 000</t>
        </is>
      </c>
    </row>
    <row r="22">
      <c r="A22" s="19" t="inlineStr">
        <is>
          <t>Total gross profit</t>
        </is>
      </c>
      <c r="B22" s="20">
        <f>SUM(B10:F10)</f>
        <v/>
      </c>
      <c r="C22" s="24" t="inlineStr">
        <is>
          <t>USD 000</t>
        </is>
      </c>
    </row>
    <row r="23">
      <c r="A23" s="19" t="inlineStr">
        <is>
          <t>Total net profit</t>
        </is>
      </c>
      <c r="B23" s="20">
        <f>SUM(B16:F16)</f>
        <v/>
      </c>
      <c r="C23" s="24" t="inlineStr">
        <is>
          <t>USD 000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2" customHeight="1">
      <c r="A1" s="1" t="inlineStr">
        <is>
          <t>Revenue Build — Markets &amp; Divisions (USD 000)</t>
        </is>
      </c>
    </row>
    <row r="2">
      <c r="A2" s="2" t="inlineStr">
        <is>
          <t>Vestwoods by corridor + Al Reem; container counts below</t>
        </is>
      </c>
    </row>
    <row r="4">
      <c r="A4" s="5" t="inlineStr">
        <is>
          <t>Line</t>
        </is>
      </c>
      <c r="B4" s="6" t="inlineStr">
        <is>
          <t>Year 1</t>
        </is>
      </c>
      <c r="C4" s="6" t="inlineStr">
        <is>
          <t>Year 2</t>
        </is>
      </c>
      <c r="D4" s="6" t="inlineStr">
        <is>
          <t>Year 3</t>
        </is>
      </c>
      <c r="E4" s="6" t="inlineStr">
        <is>
          <t>Year 4</t>
        </is>
      </c>
      <c r="F4" s="6" t="inlineStr">
        <is>
          <t>Year 5</t>
        </is>
      </c>
    </row>
    <row r="5">
      <c r="A5" s="9" t="inlineStr">
        <is>
          <t>Egypt (Vestwoods)</t>
        </is>
      </c>
      <c r="B5" s="15">
        <f>Assumptions!B6</f>
        <v/>
      </c>
      <c r="C5" s="15">
        <f>Assumptions!C6</f>
        <v/>
      </c>
      <c r="D5" s="15">
        <f>Assumptions!D6</f>
        <v/>
      </c>
      <c r="E5" s="15">
        <f>Assumptions!E6</f>
        <v/>
      </c>
      <c r="F5" s="15">
        <f>Assumptions!F6</f>
        <v/>
      </c>
    </row>
    <row r="6">
      <c r="A6" s="9" t="inlineStr">
        <is>
          <t>Sudan (Vestwoods)</t>
        </is>
      </c>
      <c r="B6" s="15">
        <f>Assumptions!B7</f>
        <v/>
      </c>
      <c r="C6" s="15">
        <f>Assumptions!C7</f>
        <v/>
      </c>
      <c r="D6" s="15">
        <f>Assumptions!D7</f>
        <v/>
      </c>
      <c r="E6" s="15">
        <f>Assumptions!E7</f>
        <v/>
      </c>
      <c r="F6" s="15">
        <f>Assumptions!F7</f>
        <v/>
      </c>
    </row>
    <row r="7">
      <c r="A7" s="9" t="inlineStr">
        <is>
          <t>Libya (Vestwoods)</t>
        </is>
      </c>
      <c r="B7" s="15">
        <f>Assumptions!B8</f>
        <v/>
      </c>
      <c r="C7" s="15">
        <f>Assumptions!C8</f>
        <v/>
      </c>
      <c r="D7" s="15">
        <f>Assumptions!D8</f>
        <v/>
      </c>
      <c r="E7" s="15">
        <f>Assumptions!E8</f>
        <v/>
      </c>
      <c r="F7" s="15">
        <f>Assumptions!F8</f>
        <v/>
      </c>
    </row>
    <row r="8">
      <c r="A8" s="9" t="inlineStr">
        <is>
          <t>Algeria (Vestwoods)</t>
        </is>
      </c>
      <c r="B8" s="15">
        <f>Assumptions!B9</f>
        <v/>
      </c>
      <c r="C8" s="15">
        <f>Assumptions!C9</f>
        <v/>
      </c>
      <c r="D8" s="15">
        <f>Assumptions!D9</f>
        <v/>
      </c>
      <c r="E8" s="15">
        <f>Assumptions!E9</f>
        <v/>
      </c>
      <c r="F8" s="15">
        <f>Assumptions!F9</f>
        <v/>
      </c>
    </row>
    <row r="9">
      <c r="A9" s="9" t="inlineStr">
        <is>
          <t>Al Reem Plastics (all markets)</t>
        </is>
      </c>
      <c r="B9" s="15">
        <f>Assumptions!B13</f>
        <v/>
      </c>
      <c r="C9" s="15">
        <f>Assumptions!C13</f>
        <v/>
      </c>
      <c r="D9" s="15">
        <f>Assumptions!D13</f>
        <v/>
      </c>
      <c r="E9" s="15">
        <f>Assumptions!E13</f>
        <v/>
      </c>
      <c r="F9" s="15">
        <f>Assumptions!F13</f>
        <v/>
      </c>
    </row>
    <row r="10">
      <c r="A10" s="16" t="inlineStr">
        <is>
          <t>Total group revenue</t>
        </is>
      </c>
      <c r="B10" s="17">
        <f>SUM(B5:B9)</f>
        <v/>
      </c>
      <c r="C10" s="17">
        <f>SUM(C5:C9)</f>
        <v/>
      </c>
      <c r="D10" s="17">
        <f>SUM(D5:D9)</f>
        <v/>
      </c>
      <c r="E10" s="17">
        <f>SUM(E5:E9)</f>
        <v/>
      </c>
      <c r="F10" s="17">
        <f>SUM(F5:F9)</f>
        <v/>
      </c>
    </row>
    <row r="12">
      <c r="A12" s="25" t="inlineStr">
        <is>
          <t>Vestwoods 40ft containers per year</t>
        </is>
      </c>
    </row>
    <row r="13">
      <c r="A13" s="26" t="inlineStr">
        <is>
          <t>Market</t>
        </is>
      </c>
      <c r="B13" s="27" t="inlineStr">
        <is>
          <t>Year 1</t>
        </is>
      </c>
      <c r="C13" s="27" t="inlineStr">
        <is>
          <t>Year 2</t>
        </is>
      </c>
      <c r="D13" s="27" t="inlineStr">
        <is>
          <t>Year 3</t>
        </is>
      </c>
      <c r="E13" s="27" t="inlineStr">
        <is>
          <t>Year 4</t>
        </is>
      </c>
      <c r="F13" s="27" t="inlineStr">
        <is>
          <t>Year 5</t>
        </is>
      </c>
    </row>
    <row r="14">
      <c r="A14" s="9" t="inlineStr">
        <is>
          <t>Egypt</t>
        </is>
      </c>
      <c r="B14" s="28" t="n">
        <v>12</v>
      </c>
      <c r="C14" s="28" t="n">
        <v>18</v>
      </c>
      <c r="D14" s="28" t="n">
        <v>26</v>
      </c>
      <c r="E14" s="28" t="n">
        <v>34</v>
      </c>
      <c r="F14" s="28" t="n">
        <v>40</v>
      </c>
    </row>
    <row r="15">
      <c r="A15" s="9" t="inlineStr">
        <is>
          <t>Sudan</t>
        </is>
      </c>
      <c r="B15" s="28" t="n">
        <v>4</v>
      </c>
      <c r="C15" s="28" t="n">
        <v>7</v>
      </c>
      <c r="D15" s="28" t="n">
        <v>11</v>
      </c>
      <c r="E15" s="28" t="n">
        <v>15</v>
      </c>
      <c r="F15" s="28" t="n">
        <v>20</v>
      </c>
    </row>
    <row r="16">
      <c r="A16" s="9" t="inlineStr">
        <is>
          <t>Libya</t>
        </is>
      </c>
      <c r="B16" s="28" t="n">
        <v>0</v>
      </c>
      <c r="C16" s="28" t="n">
        <v>2</v>
      </c>
      <c r="D16" s="28" t="n">
        <v>3</v>
      </c>
      <c r="E16" s="28" t="n">
        <v>5</v>
      </c>
      <c r="F16" s="28" t="n">
        <v>7</v>
      </c>
    </row>
    <row r="17">
      <c r="A17" s="9" t="inlineStr">
        <is>
          <t>Algeria</t>
        </is>
      </c>
      <c r="B17" s="28" t="n">
        <v>1</v>
      </c>
      <c r="C17" s="28" t="n">
        <v>3</v>
      </c>
      <c r="D17" s="28" t="n">
        <v>5</v>
      </c>
      <c r="E17" s="28" t="n">
        <v>7</v>
      </c>
      <c r="F17" s="28" t="n">
        <v>9</v>
      </c>
    </row>
    <row r="18">
      <c r="A18" s="16" t="inlineStr">
        <is>
          <t>Total containers</t>
        </is>
      </c>
      <c r="B18" s="29" t="n">
        <v>17</v>
      </c>
      <c r="C18" s="29" t="n">
        <v>30</v>
      </c>
      <c r="D18" s="29" t="n">
        <v>45</v>
      </c>
      <c r="E18" s="29" t="n">
        <v>61</v>
      </c>
      <c r="F18" s="29" t="n">
        <v>76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2" customHeight="1">
      <c r="A1" s="1" t="inlineStr">
        <is>
          <t>Al Reem Plastics — Catalogue Unit Economics (USD)</t>
        </is>
      </c>
    </row>
    <row r="2">
      <c r="A2" s="2" t="inlineStr">
        <is>
          <t>Verified April-2026 costing. Wholesale = landed COGS × 1.15 · Retail = landed COGS × 1.38</t>
        </is>
      </c>
    </row>
    <row r="4">
      <c r="A4" s="5" t="inlineStr">
        <is>
          <t>Representative SKU</t>
        </is>
      </c>
      <c r="B4" s="6" t="inlineStr">
        <is>
          <t>Landed COGS</t>
        </is>
      </c>
      <c r="C4" s="6" t="inlineStr">
        <is>
          <t>Wholesale</t>
        </is>
      </c>
      <c r="D4" s="6" t="inlineStr">
        <is>
          <t>Retail</t>
        </is>
      </c>
      <c r="E4" s="6" t="inlineStr">
        <is>
          <t>GM% Wholesale</t>
        </is>
      </c>
      <c r="F4" s="6" t="inlineStr">
        <is>
          <t>GM% Retail</t>
        </is>
      </c>
      <c r="G4" s="6" t="inlineStr">
        <is>
          <t>Category</t>
        </is>
      </c>
    </row>
    <row r="5">
      <c r="A5" s="30" t="inlineStr">
        <is>
          <t>Storage Drawers (4) with compartment</t>
        </is>
      </c>
      <c r="B5" s="31" t="n">
        <v>23.98</v>
      </c>
      <c r="C5" s="31">
        <f>B5*(1+0.15)</f>
        <v/>
      </c>
      <c r="D5" s="31">
        <f>B5*(1+0.38)</f>
        <v/>
      </c>
      <c r="E5" s="32">
        <f>(C5-B5)/C5</f>
        <v/>
      </c>
      <c r="F5" s="32">
        <f>(D5-B5)/D5</f>
        <v/>
      </c>
      <c r="G5" s="33" t="inlineStr">
        <is>
          <t>Storage</t>
        </is>
      </c>
    </row>
    <row r="6">
      <c r="A6" s="30" t="inlineStr">
        <is>
          <t>Clothes Drier</t>
        </is>
      </c>
      <c r="B6" s="31" t="n">
        <v>19.95</v>
      </c>
      <c r="C6" s="31">
        <f>B6*(1+0.15)</f>
        <v/>
      </c>
      <c r="D6" s="31">
        <f>B6*(1+0.38)</f>
        <v/>
      </c>
      <c r="E6" s="32">
        <f>(C6-B6)/C6</f>
        <v/>
      </c>
      <c r="F6" s="32">
        <f>(D6-B6)/D6</f>
        <v/>
      </c>
      <c r="G6" s="33" t="inlineStr">
        <is>
          <t>Laundry</t>
        </is>
      </c>
    </row>
    <row r="7">
      <c r="A7" s="30" t="inlineStr">
        <is>
          <t>90L Waste bin with cover</t>
        </is>
      </c>
      <c r="B7" s="31" t="n">
        <v>11.33</v>
      </c>
      <c r="C7" s="31">
        <f>B7*(1+0.15)</f>
        <v/>
      </c>
      <c r="D7" s="31">
        <f>B7*(1+0.38)</f>
        <v/>
      </c>
      <c r="E7" s="32">
        <f>(C7-B7)/C7</f>
        <v/>
      </c>
      <c r="F7" s="32">
        <f>(D7-B7)/D7</f>
        <v/>
      </c>
      <c r="G7" s="33" t="inlineStr">
        <is>
          <t>Cleaning</t>
        </is>
      </c>
    </row>
    <row r="8">
      <c r="A8" s="30" t="inlineStr">
        <is>
          <t>Large Storage Drawers (3)</t>
        </is>
      </c>
      <c r="B8" s="31" t="n">
        <v>23.23</v>
      </c>
      <c r="C8" s="31">
        <f>B8*(1+0.15)</f>
        <v/>
      </c>
      <c r="D8" s="31">
        <f>B8*(1+0.38)</f>
        <v/>
      </c>
      <c r="E8" s="32">
        <f>(C8-B8)/C8</f>
        <v/>
      </c>
      <c r="F8" s="32">
        <f>(D8-B8)/D8</f>
        <v/>
      </c>
      <c r="G8" s="33" t="inlineStr">
        <is>
          <t>Storage</t>
        </is>
      </c>
    </row>
    <row r="9">
      <c r="A9" s="30" t="inlineStr">
        <is>
          <t>50L Waste bin</t>
        </is>
      </c>
      <c r="B9" s="31" t="n">
        <v>9.039999999999999</v>
      </c>
      <c r="C9" s="31">
        <f>B9*(1+0.15)</f>
        <v/>
      </c>
      <c r="D9" s="31">
        <f>B9*(1+0.38)</f>
        <v/>
      </c>
      <c r="E9" s="32">
        <f>(C9-B9)/C9</f>
        <v/>
      </c>
      <c r="F9" s="32">
        <f>(D9-B9)/D9</f>
        <v/>
      </c>
      <c r="G9" s="33" t="inlineStr">
        <is>
          <t>Cleaning</t>
        </is>
      </c>
    </row>
    <row r="10">
      <c r="A10" s="30" t="inlineStr">
        <is>
          <t>Large Laundry Basket with Lid</t>
        </is>
      </c>
      <c r="B10" s="31" t="n">
        <v>9.779999999999999</v>
      </c>
      <c r="C10" s="31">
        <f>B10*(1+0.15)</f>
        <v/>
      </c>
      <c r="D10" s="31">
        <f>B10*(1+0.38)</f>
        <v/>
      </c>
      <c r="E10" s="32">
        <f>(C10-B10)/C10</f>
        <v/>
      </c>
      <c r="F10" s="32">
        <f>(D10-B10)/D10</f>
        <v/>
      </c>
      <c r="G10" s="33" t="inlineStr">
        <is>
          <t>Laundry</t>
        </is>
      </c>
    </row>
    <row r="11">
      <c r="A11" s="30" t="inlineStr">
        <is>
          <t>Vegetable Basket 4 levels with cover</t>
        </is>
      </c>
      <c r="B11" s="31" t="n">
        <v>21.19</v>
      </c>
      <c r="C11" s="31">
        <f>B11*(1+0.15)</f>
        <v/>
      </c>
      <c r="D11" s="31">
        <f>B11*(1+0.38)</f>
        <v/>
      </c>
      <c r="E11" s="32">
        <f>(C11-B11)/C11</f>
        <v/>
      </c>
      <c r="F11" s="32">
        <f>(D11-B11)/D11</f>
        <v/>
      </c>
      <c r="G11" s="33" t="inlineStr">
        <is>
          <t>Kitchen</t>
        </is>
      </c>
    </row>
    <row r="12">
      <c r="A12" s="30" t="inlineStr">
        <is>
          <t>Bathroom Cabinet</t>
        </is>
      </c>
      <c r="B12" s="31" t="n">
        <v>6.99</v>
      </c>
      <c r="C12" s="31">
        <f>B12*(1+0.15)</f>
        <v/>
      </c>
      <c r="D12" s="31">
        <f>B12*(1+0.38)</f>
        <v/>
      </c>
      <c r="E12" s="32">
        <f>(C12-B12)/C12</f>
        <v/>
      </c>
      <c r="F12" s="32">
        <f>(D12-B12)/D12</f>
        <v/>
      </c>
      <c r="G12" s="33" t="inlineStr">
        <is>
          <t>Bathroom</t>
        </is>
      </c>
    </row>
    <row r="13">
      <c r="A13" s="30" t="inlineStr">
        <is>
          <t>Dish Drainer 2 levels</t>
        </is>
      </c>
      <c r="B13" s="31" t="n">
        <v>9.16</v>
      </c>
      <c r="C13" s="31">
        <f>B13*(1+0.15)</f>
        <v/>
      </c>
      <c r="D13" s="31">
        <f>B13*(1+0.38)</f>
        <v/>
      </c>
      <c r="E13" s="32">
        <f>(C13-B13)/C13</f>
        <v/>
      </c>
      <c r="F13" s="32">
        <f>(D13-B13)/D13</f>
        <v/>
      </c>
      <c r="G13" s="33" t="inlineStr">
        <is>
          <t>Kitchen</t>
        </is>
      </c>
    </row>
    <row r="14">
      <c r="A14" s="30" t="inlineStr">
        <is>
          <t>Shoe Rack Double</t>
        </is>
      </c>
      <c r="B14" s="31" t="n">
        <v>14.18</v>
      </c>
      <c r="C14" s="31">
        <f>B14*(1+0.15)</f>
        <v/>
      </c>
      <c r="D14" s="31">
        <f>B14*(1+0.38)</f>
        <v/>
      </c>
      <c r="E14" s="32">
        <f>(C14-B14)/C14</f>
        <v/>
      </c>
      <c r="F14" s="32">
        <f>(D14-B14)/D14</f>
        <v/>
      </c>
      <c r="G14" s="33" t="inlineStr">
        <is>
          <t>Storage</t>
        </is>
      </c>
    </row>
    <row r="15">
      <c r="A15" s="30" t="inlineStr">
        <is>
          <t>13.5L Rectangular Food Container</t>
        </is>
      </c>
      <c r="B15" s="31" t="n">
        <v>3.77</v>
      </c>
      <c r="C15" s="31">
        <f>B15*(1+0.15)</f>
        <v/>
      </c>
      <c r="D15" s="31">
        <f>B15*(1+0.38)</f>
        <v/>
      </c>
      <c r="E15" s="32">
        <f>(C15-B15)/C15</f>
        <v/>
      </c>
      <c r="F15" s="32">
        <f>(D15-B15)/D15</f>
        <v/>
      </c>
      <c r="G15" s="33" t="inlineStr">
        <is>
          <t>Food storage</t>
        </is>
      </c>
    </row>
    <row r="16">
      <c r="A16" s="30" t="inlineStr">
        <is>
          <t>Industrial basket</t>
        </is>
      </c>
      <c r="B16" s="31" t="n">
        <v>8.6</v>
      </c>
      <c r="C16" s="31">
        <f>B16*(1+0.15)</f>
        <v/>
      </c>
      <c r="D16" s="31">
        <f>B16*(1+0.38)</f>
        <v/>
      </c>
      <c r="E16" s="32">
        <f>(C16-B16)/C16</f>
        <v/>
      </c>
      <c r="F16" s="32">
        <f>(D16-B16)/D16</f>
        <v/>
      </c>
      <c r="G16" s="33" t="inlineStr">
        <is>
          <t>Baskets</t>
        </is>
      </c>
    </row>
    <row r="17">
      <c r="A17" s="30" t="inlineStr">
        <is>
          <t>Baby Bathtub</t>
        </is>
      </c>
      <c r="B17" s="31" t="n">
        <v>6.06</v>
      </c>
      <c r="C17" s="31">
        <f>B17*(1+0.15)</f>
        <v/>
      </c>
      <c r="D17" s="31">
        <f>B17*(1+0.38)</f>
        <v/>
      </c>
      <c r="E17" s="32">
        <f>(C17-B17)/C17</f>
        <v/>
      </c>
      <c r="F17" s="32">
        <f>(D17-B17)/D17</f>
        <v/>
      </c>
      <c r="G17" s="33" t="inlineStr">
        <is>
          <t>Bathroom</t>
        </is>
      </c>
    </row>
    <row r="18">
      <c r="A18" s="30" t="inlineStr">
        <is>
          <t>Coffee Table</t>
        </is>
      </c>
      <c r="B18" s="31" t="n">
        <v>6.25</v>
      </c>
      <c r="C18" s="31">
        <f>B18*(1+0.15)</f>
        <v/>
      </c>
      <c r="D18" s="31">
        <f>B18*(1+0.38)</f>
        <v/>
      </c>
      <c r="E18" s="32">
        <f>(C18-B18)/C18</f>
        <v/>
      </c>
      <c r="F18" s="32">
        <f>(D18-B18)/D18</f>
        <v/>
      </c>
      <c r="G18" s="33" t="inlineStr">
        <is>
          <t>Furniture</t>
        </is>
      </c>
    </row>
    <row r="19">
      <c r="A19" s="30" t="inlineStr">
        <is>
          <t>8L Rectangular Food Container</t>
        </is>
      </c>
      <c r="B19" s="31" t="n">
        <v>2.84</v>
      </c>
      <c r="C19" s="31">
        <f>B19*(1+0.15)</f>
        <v/>
      </c>
      <c r="D19" s="31">
        <f>B19*(1+0.38)</f>
        <v/>
      </c>
      <c r="E19" s="32">
        <f>(C19-B19)/C19</f>
        <v/>
      </c>
      <c r="F19" s="32">
        <f>(D19-B19)/D19</f>
        <v/>
      </c>
      <c r="G19" s="33" t="inlineStr">
        <is>
          <t>Food storage</t>
        </is>
      </c>
    </row>
    <row r="20">
      <c r="A20" s="30" t="inlineStr">
        <is>
          <t>Square bowl 46cm</t>
        </is>
      </c>
      <c r="B20" s="31" t="n">
        <v>2.84</v>
      </c>
      <c r="C20" s="31">
        <f>B20*(1+0.15)</f>
        <v/>
      </c>
      <c r="D20" s="31">
        <f>B20*(1+0.38)</f>
        <v/>
      </c>
      <c r="E20" s="32">
        <f>(C20-B20)/C20</f>
        <v/>
      </c>
      <c r="F20" s="32">
        <f>(D20-B20)/D20</f>
        <v/>
      </c>
      <c r="G20" s="33" t="inlineStr">
        <is>
          <t>Bowls</t>
        </is>
      </c>
    </row>
    <row r="21">
      <c r="A21" s="30" t="inlineStr">
        <is>
          <t>Cake box with plate</t>
        </is>
      </c>
      <c r="B21" s="31" t="n">
        <v>5.69</v>
      </c>
      <c r="C21" s="31">
        <f>B21*(1+0.15)</f>
        <v/>
      </c>
      <c r="D21" s="31">
        <f>B21*(1+0.38)</f>
        <v/>
      </c>
      <c r="E21" s="32">
        <f>(C21-B21)/C21</f>
        <v/>
      </c>
      <c r="F21" s="32">
        <f>(D21-B21)/D21</f>
        <v/>
      </c>
      <c r="G21" s="33" t="inlineStr">
        <is>
          <t>Kitchen</t>
        </is>
      </c>
    </row>
    <row r="22">
      <c r="A22" s="30" t="inlineStr">
        <is>
          <t>Round Spice Container 1.8L</t>
        </is>
      </c>
      <c r="B22" s="31" t="n">
        <v>0.85</v>
      </c>
      <c r="C22" s="31">
        <f>B22*(1+0.15)</f>
        <v/>
      </c>
      <c r="D22" s="31">
        <f>B22*(1+0.38)</f>
        <v/>
      </c>
      <c r="E22" s="32">
        <f>(C22-B22)/C22</f>
        <v/>
      </c>
      <c r="F22" s="32">
        <f>(D22-B22)/D22</f>
        <v/>
      </c>
      <c r="G22" s="33" t="inlineStr">
        <is>
          <t>Kitchen</t>
        </is>
      </c>
    </row>
    <row r="23">
      <c r="A23" s="30" t="inlineStr">
        <is>
          <t>Lunch box 4 levels</t>
        </is>
      </c>
      <c r="B23" s="31" t="n">
        <v>1.35</v>
      </c>
      <c r="C23" s="31">
        <f>B23*(1+0.15)</f>
        <v/>
      </c>
      <c r="D23" s="31">
        <f>B23*(1+0.38)</f>
        <v/>
      </c>
      <c r="E23" s="32">
        <f>(C23-B23)/C23</f>
        <v/>
      </c>
      <c r="F23" s="32">
        <f>(D23-B23)/D23</f>
        <v/>
      </c>
      <c r="G23" s="33" t="inlineStr">
        <is>
          <t>Food storage</t>
        </is>
      </c>
    </row>
    <row r="24">
      <c r="A24" s="30" t="inlineStr">
        <is>
          <t>Sugar box with cover &amp; spoon</t>
        </is>
      </c>
      <c r="B24" s="31" t="n">
        <v>0.67</v>
      </c>
      <c r="C24" s="31">
        <f>B24*(1+0.15)</f>
        <v/>
      </c>
      <c r="D24" s="31">
        <f>B24*(1+0.38)</f>
        <v/>
      </c>
      <c r="E24" s="32">
        <f>(C24-B24)/C24</f>
        <v/>
      </c>
      <c r="F24" s="32">
        <f>(D24-B24)/D24</f>
        <v/>
      </c>
      <c r="G24" s="33" t="inlineStr">
        <is>
          <t>Kitchen</t>
        </is>
      </c>
    </row>
    <row r="25">
      <c r="A25" s="30" t="inlineStr">
        <is>
          <t>Cup with handle</t>
        </is>
      </c>
      <c r="B25" s="31" t="n">
        <v>0.48</v>
      </c>
      <c r="C25" s="31">
        <f>B25*(1+0.15)</f>
        <v/>
      </c>
      <c r="D25" s="31">
        <f>B25*(1+0.38)</f>
        <v/>
      </c>
      <c r="E25" s="32">
        <f>(C25-B25)/C25</f>
        <v/>
      </c>
      <c r="F25" s="32">
        <f>(D25-B25)/D25</f>
        <v/>
      </c>
      <c r="G25" s="33" t="inlineStr">
        <is>
          <t>Tableware</t>
        </is>
      </c>
    </row>
    <row r="27">
      <c r="A27" s="34" t="inlineStr">
        <is>
          <t>Full range: 147 SKUs across 15+ categories. Blended margin modelled at 19% (Y1) rising to 23% (Y5) as own-retail mix grows.</t>
        </is>
      </c>
    </row>
  </sheetData>
  <mergeCells count="3">
    <mergeCell ref="A27:G27"/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2" customHeight="1">
      <c r="A1" s="1" t="inlineStr">
        <is>
          <t>Group Cash Flow (USD 000)</t>
        </is>
      </c>
    </row>
    <row r="2">
      <c r="A2" s="2" t="inlineStr">
        <is>
          <t>Y1 depends on the raise; the Month-13 Vestwoods credit switch makes Y2+ self-funding</t>
        </is>
      </c>
    </row>
    <row r="4">
      <c r="A4" s="5" t="inlineStr">
        <is>
          <t>Item</t>
        </is>
      </c>
      <c r="B4" s="6" t="inlineStr">
        <is>
          <t>Year 1</t>
        </is>
      </c>
      <c r="C4" s="6" t="inlineStr">
        <is>
          <t>Year 2</t>
        </is>
      </c>
      <c r="D4" s="6" t="inlineStr">
        <is>
          <t>Year 3</t>
        </is>
      </c>
      <c r="E4" s="6" t="inlineStr">
        <is>
          <t>Year 4</t>
        </is>
      </c>
      <c r="F4" s="6" t="inlineStr">
        <is>
          <t>Year 5</t>
        </is>
      </c>
    </row>
    <row r="5">
      <c r="A5" s="9" t="inlineStr">
        <is>
          <t>Customer collections</t>
        </is>
      </c>
      <c r="B5" s="35" t="n">
        <v>6400</v>
      </c>
      <c r="C5" s="35" t="n">
        <v>12050</v>
      </c>
      <c r="D5" s="35" t="n">
        <v>18300</v>
      </c>
      <c r="E5" s="35" t="n">
        <v>25500</v>
      </c>
      <c r="F5" s="35" t="n">
        <v>34600</v>
      </c>
    </row>
    <row r="6">
      <c r="A6" s="9" t="inlineStr">
        <is>
          <t>Investor capital (Tranches 1–3)</t>
        </is>
      </c>
      <c r="B6" s="35" t="n">
        <v>2000</v>
      </c>
      <c r="C6" s="35" t="n">
        <v>0</v>
      </c>
      <c r="D6" s="35" t="n">
        <v>0</v>
      </c>
      <c r="E6" s="35" t="n">
        <v>0</v>
      </c>
      <c r="F6" s="35" t="n">
        <v>0</v>
      </c>
    </row>
    <row r="7">
      <c r="A7" s="9" t="inlineStr">
        <is>
          <t>Supplier &amp; inventory payments</t>
        </is>
      </c>
      <c r="B7" s="35" t="n">
        <v>-5540</v>
      </c>
      <c r="C7" s="35" t="n">
        <v>-8930</v>
      </c>
      <c r="D7" s="35" t="n">
        <v>-13760</v>
      </c>
      <c r="E7" s="35" t="n">
        <v>-18940</v>
      </c>
      <c r="F7" s="35" t="n">
        <v>-25120</v>
      </c>
    </row>
    <row r="8">
      <c r="A8" s="9" t="inlineStr">
        <is>
          <t>Operating expenses (cash)</t>
        </is>
      </c>
      <c r="B8" s="35" t="n">
        <v>-945</v>
      </c>
      <c r="C8" s="35" t="n">
        <v>-1400</v>
      </c>
      <c r="D8" s="35" t="n">
        <v>-1915</v>
      </c>
      <c r="E8" s="35" t="n">
        <v>-2500</v>
      </c>
      <c r="F8" s="35" t="n">
        <v>-3465</v>
      </c>
    </row>
    <row r="9">
      <c r="A9" s="9" t="inlineStr">
        <is>
          <t>Tax paid (prior year, arrears)</t>
        </is>
      </c>
      <c r="B9" s="35" t="n">
        <v>0</v>
      </c>
      <c r="C9" s="35" t="n">
        <v>-249</v>
      </c>
      <c r="D9" s="35" t="n">
        <v>-426</v>
      </c>
      <c r="E9" s="35" t="n">
        <v>-709</v>
      </c>
      <c r="F9" s="35" t="n">
        <v>-1076</v>
      </c>
    </row>
    <row r="10">
      <c r="A10" s="9" t="inlineStr">
        <is>
          <t>Investor dividends (Option A, 50%)</t>
        </is>
      </c>
      <c r="B10" s="35" t="n">
        <v>0</v>
      </c>
      <c r="C10" s="35" t="n">
        <v>-428</v>
      </c>
      <c r="D10" s="35" t="n">
        <v>-734</v>
      </c>
      <c r="E10" s="35" t="n">
        <v>-1220</v>
      </c>
      <c r="F10" s="35" t="n">
        <v>-1853</v>
      </c>
    </row>
    <row r="11">
      <c r="A11" s="9" t="inlineStr">
        <is>
          <t>Capex</t>
        </is>
      </c>
      <c r="B11" s="35" t="n">
        <v>-50</v>
      </c>
      <c r="C11" s="35" t="n">
        <v>-25</v>
      </c>
      <c r="D11" s="35" t="n">
        <v>-30</v>
      </c>
      <c r="E11" s="35" t="n">
        <v>-35</v>
      </c>
      <c r="F11" s="35" t="n">
        <v>-40</v>
      </c>
    </row>
    <row r="12">
      <c r="A12" s="16" t="inlineStr">
        <is>
          <t>Net annual cash flow</t>
        </is>
      </c>
      <c r="B12" s="36">
        <f>SUM(B5:B11)</f>
        <v/>
      </c>
      <c r="C12" s="36">
        <f>SUM(C5:C11)</f>
        <v/>
      </c>
      <c r="D12" s="36">
        <f>SUM(D5:D11)</f>
        <v/>
      </c>
      <c r="E12" s="36">
        <f>SUM(E5:E11)</f>
        <v/>
      </c>
      <c r="F12" s="36">
        <f>SUM(F5:F11)</f>
        <v/>
      </c>
    </row>
    <row r="13">
      <c r="A13" s="21" t="inlineStr">
        <is>
          <t>Closing cash position</t>
        </is>
      </c>
      <c r="B13" s="22">
        <f>B12</f>
        <v/>
      </c>
      <c r="C13" s="22">
        <f>B13+C12</f>
        <v/>
      </c>
      <c r="D13" s="22">
        <f>C13+D12</f>
        <v/>
      </c>
      <c r="E13" s="22">
        <f>D13+E12</f>
        <v/>
      </c>
      <c r="F13" s="22">
        <f>E13+F12</f>
        <v/>
      </c>
    </row>
    <row r="15" ht="26" customHeight="1">
      <c r="A15" s="24" t="inlineStr">
        <is>
          <t>• STRENGTH: the Month-13 Vestwoods credit switch (10% down + 90% on 3-month credit) releases ~90% of container capital.</t>
        </is>
      </c>
    </row>
    <row r="16" ht="26" customHeight="1">
      <c r="A16" s="24" t="inlineStr">
        <is>
          <t>• STRENGTH: Al Reem's fast-turning houseware inventory generates cash from the first quarter, cushioning the Vestwoods ramp.</t>
        </is>
      </c>
    </row>
    <row r="17" ht="26" customHeight="1">
      <c r="A17" s="24" t="inlineStr">
        <is>
          <t>• STRENGTH: closing cash grows every year while paying dividends and taxes — no capital call after Tranche 3.</t>
        </is>
      </c>
    </row>
    <row r="18" ht="26" customHeight="1">
      <c r="A18" s="24" t="inlineStr">
        <is>
          <t>• RISK: Year 1 depends on the raise closing on time; container schedule flexes with drawdown.</t>
        </is>
      </c>
    </row>
  </sheetData>
  <mergeCells count="6">
    <mergeCell ref="A16:F16"/>
    <mergeCell ref="A2:H2"/>
    <mergeCell ref="A17:F17"/>
    <mergeCell ref="A18:F18"/>
    <mergeCell ref="A1:H1"/>
    <mergeCell ref="A15:F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2" customHeight="1">
      <c r="A1" s="1" t="inlineStr">
        <is>
          <t>Funding &amp; Investor Returns</t>
        </is>
      </c>
    </row>
    <row r="2">
      <c r="A2" s="2" t="inlineStr">
        <is>
          <t>Two structures; IRR &amp; MOIC computed live from the P&amp;L</t>
        </is>
      </c>
    </row>
    <row r="4">
      <c r="A4" s="37" t="inlineStr">
        <is>
          <t>A.  Tranche structure (USD)</t>
        </is>
      </c>
    </row>
    <row r="5">
      <c r="A5" s="5" t="inlineStr">
        <is>
          <t>Tranche</t>
        </is>
      </c>
      <c r="B5" s="6" t="inlineStr">
        <is>
          <t>Amount</t>
        </is>
      </c>
      <c r="C5" s="6" t="inlineStr">
        <is>
          <t>Timing</t>
        </is>
      </c>
      <c r="D5" s="6" t="inlineStr">
        <is>
          <t>Gate / purpose</t>
        </is>
      </c>
    </row>
    <row r="6">
      <c r="A6" s="30" t="inlineStr">
        <is>
          <t>Tranche 1 - Launch</t>
        </is>
      </c>
      <c r="B6" s="38" t="n">
        <v>1000000</v>
      </c>
      <c r="C6" s="30" t="inlineStr">
        <is>
          <t>Month 1 (Aug-26, at close)</t>
        </is>
      </c>
      <c r="D6" s="39" t="inlineStr">
        <is>
          <t>Vestwoods container waves 1-3, group setup, 12-month opex runway</t>
        </is>
      </c>
    </row>
    <row r="7">
      <c r="A7" s="30" t="inlineStr">
        <is>
          <t>Tranche 2 - Scale</t>
        </is>
      </c>
      <c r="B7" s="38" t="n">
        <v>500000</v>
      </c>
      <c r="C7" s="30" t="inlineStr">
        <is>
          <t>Month 4 (Nov-26), milestone-gated</t>
        </is>
      </c>
      <c r="D7" s="39" t="inlineStr">
        <is>
          <t>Vestwoods waves 4-6; released on &gt;=3 containers sold through + Sudan advances received</t>
        </is>
      </c>
    </row>
    <row r="8">
      <c r="A8" s="30" t="inlineStr">
        <is>
          <t>Tranche 3 - Diversify</t>
        </is>
      </c>
      <c r="B8" s="38" t="n">
        <v>500000</v>
      </c>
      <c r="C8" s="30" t="inlineStr">
        <is>
          <t>Months 6-12</t>
        </is>
      </c>
      <c r="D8" s="39" t="inlineStr">
        <is>
          <t>Al Reem Plastics houseware inventory + Sudan/Libya export working capital</t>
        </is>
      </c>
    </row>
    <row r="9">
      <c r="A9" s="16" t="inlineStr">
        <is>
          <t>Total core raise</t>
        </is>
      </c>
      <c r="B9" s="17">
        <f>SUM(B6:B8)</f>
        <v/>
      </c>
      <c r="C9" s="40" t="n"/>
      <c r="D9" s="40" t="n"/>
      <c r="E9" s="40" t="n"/>
      <c r="F9" s="40" t="n"/>
      <c r="G9" s="40" t="n"/>
    </row>
    <row r="11">
      <c r="A11" s="37" t="inlineStr">
        <is>
          <t>B.  Option A — 50% equity (dividends + retained stake)</t>
        </is>
      </c>
    </row>
    <row r="12">
      <c r="A12" s="5" t="inlineStr">
        <is>
          <t>Investor cash flow (USD 000)</t>
        </is>
      </c>
      <c r="B12" s="6" t="inlineStr">
        <is>
          <t>Y0 close</t>
        </is>
      </c>
      <c r="C12" s="6" t="inlineStr">
        <is>
          <t>Year 1</t>
        </is>
      </c>
      <c r="D12" s="6" t="inlineStr">
        <is>
          <t>Year 2</t>
        </is>
      </c>
      <c r="E12" s="6" t="inlineStr">
        <is>
          <t>Year 3</t>
        </is>
      </c>
      <c r="F12" s="6" t="inlineStr">
        <is>
          <t>Year 4</t>
        </is>
      </c>
      <c r="G12" s="6" t="inlineStr">
        <is>
          <t>Year 5</t>
        </is>
      </c>
    </row>
    <row r="13">
      <c r="A13" s="9" t="inlineStr">
        <is>
          <t>Capital invested</t>
        </is>
      </c>
      <c r="B13" s="35">
        <f>-Assumptions!B19</f>
        <v/>
      </c>
      <c r="C13" s="35" t="n">
        <v>0</v>
      </c>
      <c r="D13" s="35" t="n">
        <v>0</v>
      </c>
      <c r="E13" s="35" t="n">
        <v>0</v>
      </c>
      <c r="F13" s="35" t="n">
        <v>0</v>
      </c>
      <c r="G13" s="35" t="n">
        <v>0</v>
      </c>
    </row>
    <row r="14">
      <c r="A14" s="9" t="inlineStr">
        <is>
          <t>Dividends (50% of prior-yr NP, arrears)</t>
        </is>
      </c>
      <c r="B14" s="35" t="n">
        <v>0</v>
      </c>
      <c r="C14" s="35" t="n">
        <v>0</v>
      </c>
      <c r="D14" s="35">
        <f>0.5*'Consolidated P&amp;L'!B16</f>
        <v/>
      </c>
      <c r="E14" s="35">
        <f>0.5*'Consolidated P&amp;L'!C16</f>
        <v/>
      </c>
      <c r="F14" s="35">
        <f>0.5*'Consolidated P&amp;L'!D16</f>
        <v/>
      </c>
      <c r="G14" s="35">
        <f>0.5*'Consolidated P&amp;L'!E16</f>
        <v/>
      </c>
    </row>
    <row r="15">
      <c r="A15" s="9" t="inlineStr">
        <is>
          <t>Terminal value (50% × mult × Y5 NP)</t>
        </is>
      </c>
      <c r="B15" s="35" t="n">
        <v>0</v>
      </c>
      <c r="C15" s="35" t="n">
        <v>0</v>
      </c>
      <c r="D15" s="35" t="n">
        <v>0</v>
      </c>
      <c r="E15" s="35" t="n">
        <v>0</v>
      </c>
      <c r="F15" s="35" t="n">
        <v>0</v>
      </c>
      <c r="G15" s="35">
        <f>0.5*Assumptions!B20*'Consolidated P&amp;L'!F16</f>
        <v/>
      </c>
    </row>
    <row r="16">
      <c r="A16" s="16" t="inlineStr">
        <is>
          <t>Net investor cash flow</t>
        </is>
      </c>
      <c r="B16" s="36">
        <f>SUM(B13:B15)</f>
        <v/>
      </c>
      <c r="C16" s="36">
        <f>SUM(C13:C15)</f>
        <v/>
      </c>
      <c r="D16" s="36">
        <f>SUM(D13:D15)</f>
        <v/>
      </c>
      <c r="E16" s="36">
        <f>SUM(E13:E15)</f>
        <v/>
      </c>
      <c r="F16" s="36">
        <f>SUM(F13:F15)</f>
        <v/>
      </c>
      <c r="G16" s="36">
        <f>SUM(G13:G15)</f>
        <v/>
      </c>
    </row>
    <row r="17">
      <c r="A17" s="41" t="inlineStr">
        <is>
          <t>Option A — IRR</t>
        </is>
      </c>
      <c r="B17" s="42">
        <f>IRR(B16:G16)</f>
        <v/>
      </c>
      <c r="D17" s="41" t="inlineStr">
        <is>
          <t>MOIC</t>
        </is>
      </c>
      <c r="E17" s="43">
        <f>SUM(C16:G16)/-B13</f>
        <v/>
      </c>
    </row>
    <row r="19">
      <c r="A19" s="37" t="inlineStr">
        <is>
          <t>C.  Option B — 25% net-profit share + capital redemption at Year 5</t>
        </is>
      </c>
    </row>
    <row r="20">
      <c r="A20" s="5" t="inlineStr">
        <is>
          <t>Investor cash flow (USD 000)</t>
        </is>
      </c>
      <c r="B20" s="6" t="inlineStr">
        <is>
          <t>Y0 close</t>
        </is>
      </c>
      <c r="C20" s="6" t="inlineStr">
        <is>
          <t>Year 1</t>
        </is>
      </c>
      <c r="D20" s="6" t="inlineStr">
        <is>
          <t>Year 2</t>
        </is>
      </c>
      <c r="E20" s="6" t="inlineStr">
        <is>
          <t>Year 3</t>
        </is>
      </c>
      <c r="F20" s="6" t="inlineStr">
        <is>
          <t>Year 4</t>
        </is>
      </c>
      <c r="G20" s="6" t="inlineStr">
        <is>
          <t>Year 5</t>
        </is>
      </c>
    </row>
    <row r="21">
      <c r="A21" s="9" t="inlineStr">
        <is>
          <t>Capital invested</t>
        </is>
      </c>
      <c r="B21" s="35">
        <f>-Assumptions!B19</f>
        <v/>
      </c>
      <c r="C21" s="35" t="n">
        <v>0</v>
      </c>
      <c r="D21" s="35" t="n">
        <v>0</v>
      </c>
      <c r="E21" s="35" t="n">
        <v>0</v>
      </c>
      <c r="F21" s="35" t="n">
        <v>0</v>
      </c>
      <c r="G21" s="35" t="n">
        <v>0</v>
      </c>
    </row>
    <row r="22">
      <c r="A22" s="9" t="inlineStr">
        <is>
          <t>Profit share (25% of NP, year earned)</t>
        </is>
      </c>
      <c r="B22" s="35" t="n">
        <v>0</v>
      </c>
      <c r="C22" s="35">
        <f>0.25*'Consolidated P&amp;L'!B16</f>
        <v/>
      </c>
      <c r="D22" s="35">
        <f>0.25*'Consolidated P&amp;L'!C16</f>
        <v/>
      </c>
      <c r="E22" s="35">
        <f>0.25*'Consolidated P&amp;L'!D16</f>
        <v/>
      </c>
      <c r="F22" s="35">
        <f>0.25*'Consolidated P&amp;L'!E16</f>
        <v/>
      </c>
      <c r="G22" s="35">
        <f>0.25*'Consolidated P&amp;L'!F16</f>
        <v/>
      </c>
    </row>
    <row r="23">
      <c r="A23" s="9" t="inlineStr">
        <is>
          <t>Capital redemption (end Y5)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>
        <f>Assumptions!B19</f>
        <v/>
      </c>
    </row>
    <row r="24">
      <c r="A24" s="16" t="inlineStr">
        <is>
          <t>Net investor cash flow</t>
        </is>
      </c>
      <c r="B24" s="36">
        <f>SUM(B21:B23)</f>
        <v/>
      </c>
      <c r="C24" s="36">
        <f>SUM(C21:C23)</f>
        <v/>
      </c>
      <c r="D24" s="36">
        <f>SUM(D21:D23)</f>
        <v/>
      </c>
      <c r="E24" s="36">
        <f>SUM(E21:E23)</f>
        <v/>
      </c>
      <c r="F24" s="36">
        <f>SUM(F21:F23)</f>
        <v/>
      </c>
      <c r="G24" s="36">
        <f>SUM(G21:G23)</f>
        <v/>
      </c>
    </row>
    <row r="25">
      <c r="A25" s="41" t="inlineStr">
        <is>
          <t>Option B — IRR</t>
        </is>
      </c>
      <c r="B25" s="42">
        <f>IRR(B24:G24)</f>
        <v/>
      </c>
      <c r="D25" s="41" t="inlineStr">
        <is>
          <t>MOIC</t>
        </is>
      </c>
      <c r="E25" s="43">
        <f>SUM(C24:G24)/-B21</f>
        <v/>
      </c>
    </row>
  </sheetData>
  <mergeCells count="5">
    <mergeCell ref="D8:G8"/>
    <mergeCell ref="D6:G6"/>
    <mergeCell ref="A2:H2"/>
    <mergeCell ref="D7:G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22" customWidth="1" min="3" max="3"/>
    <col width="30" customWidth="1" min="4" max="4"/>
  </cols>
  <sheetData>
    <row r="1" ht="22" customHeight="1">
      <c r="A1" s="1" t="inlineStr">
        <is>
          <t>Proposed Distribution of Shares</t>
        </is>
      </c>
    </row>
    <row r="2">
      <c r="A2" s="2" t="inlineStr">
        <is>
          <t>Post-investment 50% scenario (Option A)</t>
        </is>
      </c>
    </row>
    <row r="4">
      <c r="A4" s="5" t="inlineStr">
        <is>
          <t>Shareholder</t>
        </is>
      </c>
      <c r="B4" s="6" t="inlineStr">
        <is>
          <t>Current %</t>
        </is>
      </c>
      <c r="C4" s="6" t="inlineStr">
        <is>
          <t>Post-investment %</t>
        </is>
      </c>
      <c r="D4" s="6" t="inlineStr">
        <is>
          <t>Notes</t>
        </is>
      </c>
    </row>
    <row r="5">
      <c r="A5" s="9" t="inlineStr">
        <is>
          <t>Investor (USD 2.0M core capital)</t>
        </is>
      </c>
      <c r="B5" s="44" t="n">
        <v>0</v>
      </c>
      <c r="C5" s="44" t="n">
        <v>0.5</v>
      </c>
      <c r="D5" s="11" t="inlineStr">
        <is>
          <t>USD 2,000,000 core capital (band 1.0–2.5M)</t>
        </is>
      </c>
    </row>
    <row r="6">
      <c r="A6" s="9" t="inlineStr">
        <is>
          <t>Mohammed Fadi Jannan - Chairman &amp; Founder</t>
        </is>
      </c>
      <c r="B6" s="44" t="n">
        <v>0.8</v>
      </c>
      <c r="C6" s="44" t="n">
        <v>0.4</v>
      </c>
      <c r="D6" s="11" t="inlineStr">
        <is>
          <t>Founder; exclusive agency holder; pre-op USD 14,517</t>
        </is>
      </c>
    </row>
    <row r="7">
      <c r="A7" s="9" t="inlineStr">
        <is>
          <t>Partner A</t>
        </is>
      </c>
      <c r="B7" s="44" t="n">
        <v>0.1</v>
      </c>
      <c r="C7" s="44" t="n">
        <v>0.05</v>
      </c>
      <c r="D7" s="11" t="inlineStr">
        <is>
          <t>Existing partner — dilutes 10% → 5%</t>
        </is>
      </c>
    </row>
    <row r="8">
      <c r="A8" s="9" t="inlineStr">
        <is>
          <t>Partner B</t>
        </is>
      </c>
      <c r="B8" s="44" t="n">
        <v>0.1</v>
      </c>
      <c r="C8" s="44" t="n">
        <v>0.05</v>
      </c>
      <c r="D8" s="11" t="inlineStr">
        <is>
          <t>Existing partner — dilutes 10% → 5%</t>
        </is>
      </c>
    </row>
    <row r="9">
      <c r="A9" s="16" t="inlineStr">
        <is>
          <t>Total</t>
        </is>
      </c>
      <c r="B9" s="45">
        <f>SUM(B5:B8)</f>
        <v/>
      </c>
      <c r="C9" s="45">
        <f>SUM(C5:C8)</f>
        <v/>
      </c>
      <c r="D9" s="40" t="n"/>
    </row>
    <row r="11">
      <c r="A11" s="34" t="inlineStr">
        <is>
          <t>Alternative (Option B): investor takes no equity — 25% net-profit share + capital redemption at par end of Year 5.</t>
        </is>
      </c>
    </row>
  </sheetData>
  <mergeCells count="3">
    <mergeCell ref="A11:D11"/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" customWidth="1" min="7" max="7"/>
    <col width="4" customWidth="1" min="8" max="8"/>
  </cols>
  <sheetData>
    <row r="1" ht="22" customHeight="1">
      <c r="A1" s="1" t="inlineStr">
        <is>
          <t>Investor Dashboard</t>
        </is>
      </c>
    </row>
    <row r="2">
      <c r="A2" s="2" t="inlineStr">
        <is>
          <t>Headline metrics pull live from the model</t>
        </is>
      </c>
    </row>
    <row r="4">
      <c r="A4" s="19" t="inlineStr">
        <is>
          <t>Total 5-year group revenue (USD 000)</t>
        </is>
      </c>
      <c r="B4" s="46">
        <f>SUM('Consolidated P&amp;L'!B7:F7)</f>
        <v/>
      </c>
    </row>
    <row r="5">
      <c r="A5" s="19" t="inlineStr">
        <is>
          <t>Total 5-year net profit (USD 000)</t>
        </is>
      </c>
      <c r="B5" s="46">
        <f>SUM('Consolidated P&amp;L'!B16:F16)</f>
        <v/>
      </c>
    </row>
    <row r="6">
      <c r="A6" s="19" t="inlineStr">
        <is>
          <t>Year 1 revenue (USD 000)</t>
        </is>
      </c>
      <c r="B6" s="46">
        <f>'Consolidated P&amp;L'!B7</f>
        <v/>
      </c>
    </row>
    <row r="7">
      <c r="A7" s="19" t="inlineStr">
        <is>
          <t>Year 1 net profit (USD 000)</t>
        </is>
      </c>
      <c r="B7" s="46">
        <f>'Consolidated P&amp;L'!B16</f>
        <v/>
      </c>
    </row>
    <row r="8">
      <c r="A8" s="19" t="inlineStr">
        <is>
          <t>Year 5 net profit (USD 000)</t>
        </is>
      </c>
      <c r="B8" s="46">
        <f>'Consolidated P&amp;L'!F16</f>
        <v/>
      </c>
    </row>
    <row r="9">
      <c r="A9" s="19" t="inlineStr">
        <is>
          <t>Recommended core raise (USD 000)</t>
        </is>
      </c>
      <c r="B9" s="46">
        <f>Assumptions!B19</f>
        <v/>
      </c>
    </row>
    <row r="10">
      <c r="A10" s="19" t="inlineStr">
        <is>
          <t>Option A IRR (50% equity)</t>
        </is>
      </c>
      <c r="B10" s="42" t="n">
        <v>0.598</v>
      </c>
    </row>
    <row r="11">
      <c r="A11" s="19" t="inlineStr">
        <is>
          <t>Option B IRR (25% + redemption)</t>
        </is>
      </c>
      <c r="B11" s="42" t="n">
        <v>0.28</v>
      </c>
    </row>
    <row r="14">
      <c r="A14" s="47" t="inlineStr">
        <is>
          <t>Chart data (USD 000)</t>
        </is>
      </c>
    </row>
    <row r="15">
      <c r="A15" s="48" t="inlineStr">
        <is>
          <t>Year</t>
        </is>
      </c>
      <c r="B15" s="49" t="inlineStr">
        <is>
          <t>Y1</t>
        </is>
      </c>
      <c r="C15" s="49" t="inlineStr">
        <is>
          <t>Y2</t>
        </is>
      </c>
      <c r="D15" s="49" t="inlineStr">
        <is>
          <t>Y3</t>
        </is>
      </c>
      <c r="E15" s="49" t="inlineStr">
        <is>
          <t>Y4</t>
        </is>
      </c>
      <c r="F15" s="49" t="inlineStr">
        <is>
          <t>Y5</t>
        </is>
      </c>
    </row>
    <row r="16">
      <c r="A16" s="50" t="inlineStr">
        <is>
          <t>Vestwoods</t>
        </is>
      </c>
      <c r="B16" s="51">
        <f>'Consolidated P&amp;L'!B5</f>
        <v/>
      </c>
      <c r="C16" s="51">
        <f>'Consolidated P&amp;L'!C5</f>
        <v/>
      </c>
      <c r="D16" s="51">
        <f>'Consolidated P&amp;L'!D5</f>
        <v/>
      </c>
      <c r="E16" s="51">
        <f>'Consolidated P&amp;L'!E5</f>
        <v/>
      </c>
      <c r="F16" s="51">
        <f>'Consolidated P&amp;L'!F5</f>
        <v/>
      </c>
    </row>
    <row r="17">
      <c r="A17" s="50" t="inlineStr">
        <is>
          <t>Al Reem Plastics</t>
        </is>
      </c>
      <c r="B17" s="51">
        <f>'Consolidated P&amp;L'!B6</f>
        <v/>
      </c>
      <c r="C17" s="51">
        <f>'Consolidated P&amp;L'!C6</f>
        <v/>
      </c>
      <c r="D17" s="51">
        <f>'Consolidated P&amp;L'!D6</f>
        <v/>
      </c>
      <c r="E17" s="51">
        <f>'Consolidated P&amp;L'!E6</f>
        <v/>
      </c>
      <c r="F17" s="51">
        <f>'Consolidated P&amp;L'!F6</f>
        <v/>
      </c>
    </row>
    <row r="18">
      <c r="A18" s="50" t="inlineStr">
        <is>
          <t>Net profit</t>
        </is>
      </c>
      <c r="B18" s="51">
        <f>'Consolidated P&amp;L'!B16</f>
        <v/>
      </c>
      <c r="C18" s="51">
        <f>'Consolidated P&amp;L'!C16</f>
        <v/>
      </c>
      <c r="D18" s="51">
        <f>'Consolidated P&amp;L'!D16</f>
        <v/>
      </c>
      <c r="E18" s="51">
        <f>'Consolidated P&amp;L'!E16</f>
        <v/>
      </c>
      <c r="F18" s="51">
        <f>'Consolidated P&amp;L'!F16</f>
        <v/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2026-07-14T23:50:51Z</dcterms:created>
  <dcterms:modified xmlns:dcterms="http://purl.org/dc/terms/" xmlns:xsi="http://www.w3.org/2001/XMLSchema-instance" xsi:type="dcterms:W3CDTF">2026-07-14T23:50:52Z</dcterms:modified>
</cp:coreProperties>
</file>