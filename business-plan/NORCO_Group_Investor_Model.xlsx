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7" activeTab="1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ey Assumptions" sheetId="2" state="visible" r:id="rId2"/>
    <sheet xmlns:r="http://schemas.openxmlformats.org/officeDocument/2006/relationships" name="Pre-Op Investment" sheetId="3" state="visible" r:id="rId3"/>
    <sheet xmlns:r="http://schemas.openxmlformats.org/officeDocument/2006/relationships" name="Pricing Reference" sheetId="4" state="visible" r:id="rId4"/>
    <sheet xmlns:r="http://schemas.openxmlformats.org/officeDocument/2006/relationships" name="Staff Plan " sheetId="5" state="visible" r:id="rId5"/>
    <sheet xmlns:r="http://schemas.openxmlformats.org/officeDocument/2006/relationships" name="Monthly P&amp;L Year 1" sheetId="6" state="visible" r:id="rId6"/>
    <sheet xmlns:r="http://schemas.openxmlformats.org/officeDocument/2006/relationships" name="Cash Flow Year 1" sheetId="7" state="visible" r:id="rId7"/>
    <sheet xmlns:r="http://schemas.openxmlformats.org/officeDocument/2006/relationships" name="Annual P&amp;L Summary Y1-Y5" sheetId="8" state="visible" r:id="rId8"/>
    <sheet xmlns:r="http://schemas.openxmlformats.org/officeDocument/2006/relationships" name="5Y Cash Flow" sheetId="9" state="visible" r:id="rId9"/>
    <sheet xmlns:r="http://schemas.openxmlformats.org/officeDocument/2006/relationships" name="Market Detail" sheetId="10" state="visible" r:id="rId10"/>
    <sheet xmlns:r="http://schemas.openxmlformats.org/officeDocument/2006/relationships" name="Funding &amp; Returns" sheetId="11" state="visible" r:id="rId11"/>
    <sheet xmlns:r="http://schemas.openxmlformats.org/officeDocument/2006/relationships" name="Shareholding" sheetId="12" state="visible" r:id="rId12"/>
    <sheet xmlns:r="http://schemas.openxmlformats.org/officeDocument/2006/relationships" name="Dashboard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;\(#,##0\)"/>
    <numFmt numFmtId="165" formatCode="0.0%"/>
    <numFmt numFmtId="166" formatCode="0.00&quot;x&quot;"/>
    <numFmt numFmtId="167" formatCode="#,##0;(#,##0)"/>
  </numFmts>
  <fonts count="8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1"/>
      <color theme="1"/>
      <sz val="11"/>
      <scheme val="major"/>
    </font>
    <font>
      <name val="Cambria"/>
      <family val="1"/>
      <b val="1"/>
      <color theme="1"/>
      <sz val="11"/>
      <scheme val="major"/>
    </font>
    <font>
      <name val="Cambria"/>
      <family val="1"/>
      <b val="1"/>
      <color rgb="FF0F2942"/>
      <sz val="14"/>
      <scheme val="major"/>
    </font>
    <font>
      <name val="Cambria"/>
      <family val="1"/>
      <color rgb="FF5C5B57"/>
      <sz val="9.5"/>
      <scheme val="major"/>
    </font>
    <font>
      <name val="Cambria"/>
      <family val="1"/>
      <b val="1"/>
      <color rgb="FF0F2942"/>
      <sz val="10"/>
      <scheme val="major"/>
    </font>
    <font>
      <name val="Cambria"/>
      <family val="1"/>
      <color theme="1"/>
      <sz val="12"/>
      <scheme val="major"/>
    </font>
    <font>
      <name val="Cambria"/>
      <family val="1"/>
      <color rgb="FF1A1A19"/>
      <sz val="11"/>
      <scheme val="major"/>
    </font>
    <font>
      <name val="Cambria"/>
      <family val="1"/>
      <b val="1"/>
      <color rgb="FF0F6E6A"/>
      <sz val="10"/>
      <scheme val="major"/>
    </font>
    <font>
      <name val="Cambria"/>
      <family val="1"/>
      <b val="1"/>
      <color rgb="FFFFFFFF"/>
      <sz val="10"/>
      <scheme val="major"/>
    </font>
    <font>
      <name val="Cambria"/>
      <family val="1"/>
      <color theme="1"/>
      <sz val="10"/>
      <scheme val="major"/>
    </font>
    <font>
      <name val="Cambria"/>
      <family val="1"/>
      <color rgb="FF1A1A19"/>
      <sz val="10"/>
      <scheme val="major"/>
    </font>
    <font>
      <name val="Cambria"/>
      <family val="1"/>
      <color rgb="FF5C5B57"/>
      <sz val="11"/>
      <scheme val="major"/>
    </font>
    <font>
      <name val="Cambria"/>
      <family val="1"/>
      <b val="1"/>
      <color rgb="FFFFFFFF"/>
      <sz val="11"/>
      <scheme val="major"/>
    </font>
    <font>
      <name val="Cambria"/>
      <family val="1"/>
      <b val="1"/>
      <color rgb="FF0F2942"/>
      <sz val="11"/>
      <scheme val="major"/>
    </font>
    <font>
      <name val="Cambria"/>
      <family val="1"/>
      <b val="1"/>
      <color rgb="FF0F6E6A"/>
      <sz val="11"/>
      <scheme val="major"/>
    </font>
    <font>
      <name val="Cambria"/>
      <family val="1"/>
      <b val="1"/>
      <color rgb="FF0F2942"/>
      <sz val="9.5"/>
      <scheme val="major"/>
    </font>
    <font>
      <name val="Cambria"/>
      <family val="1"/>
      <b val="1"/>
      <color theme="1"/>
      <sz val="12"/>
      <scheme val="major"/>
    </font>
    <font>
      <name val="Cambria"/>
      <family val="1"/>
      <b val="1"/>
      <color rgb="FFFFFFFF"/>
      <sz val="13"/>
      <scheme val="major"/>
    </font>
    <font>
      <name val="Cambria"/>
      <family val="1"/>
      <i val="1"/>
      <color rgb="FF1E3A5F"/>
      <sz val="9"/>
      <scheme val="major"/>
    </font>
    <font>
      <name val="Cambria"/>
      <family val="1"/>
      <color rgb="FF303030"/>
      <sz val="10"/>
      <scheme val="major"/>
    </font>
    <font>
      <name val="Cambria"/>
      <family val="1"/>
      <color rgb="FF008B8B"/>
      <sz val="10"/>
      <scheme val="major"/>
    </font>
    <font>
      <name val="Cambria"/>
      <family val="1"/>
      <color rgb="FF000000"/>
      <sz val="10"/>
      <scheme val="major"/>
    </font>
    <font>
      <name val="Cambria"/>
      <family val="1"/>
      <b val="1"/>
      <color rgb="FF000000"/>
      <sz val="10"/>
      <scheme val="major"/>
    </font>
    <font>
      <name val="Cambria"/>
      <family val="1"/>
      <color rgb="FFAAAAAA"/>
      <sz val="9"/>
      <scheme val="major"/>
    </font>
    <font>
      <name val="Cambria"/>
      <family val="1"/>
      <b val="1"/>
      <color rgb="FF1E3A5F"/>
      <sz val="10"/>
      <scheme val="major"/>
    </font>
    <font>
      <name val="Cambria"/>
      <family val="1"/>
      <i val="1"/>
      <color rgb="FF404040"/>
      <sz val="10"/>
      <scheme val="major"/>
    </font>
    <font>
      <name val="Cambria"/>
      <family val="1"/>
      <i val="1"/>
      <color rgb="FF000000"/>
      <sz val="10"/>
      <scheme val="major"/>
    </font>
    <font>
      <name val="Cambria"/>
      <family val="1"/>
      <b val="1"/>
      <color rgb="FF1E3A5F"/>
      <sz val="9"/>
      <scheme val="major"/>
    </font>
    <font>
      <name val="Cambria"/>
      <family val="1"/>
      <color rgb="FF202020"/>
      <sz val="10"/>
      <scheme val="major"/>
    </font>
    <font>
      <name val="Cambria"/>
      <family val="1"/>
      <color rgb="FF606060"/>
      <sz val="9"/>
      <scheme val="major"/>
    </font>
    <font>
      <name val="Cambria"/>
      <family val="1"/>
      <b val="1"/>
      <color rgb="FF008B8B"/>
      <sz val="9"/>
      <scheme val="major"/>
    </font>
    <font>
      <name val="Cambria"/>
      <family val="1"/>
      <color rgb="FF404040"/>
      <sz val="9"/>
      <scheme val="major"/>
    </font>
    <font>
      <name val="Cambria"/>
      <family val="1"/>
      <color rgb="FF404040"/>
      <sz val="10"/>
      <scheme val="major"/>
    </font>
    <font>
      <name val="Cambria"/>
      <family val="1"/>
      <b val="1"/>
      <color rgb="FF008B8B"/>
      <sz val="10"/>
      <scheme val="maj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0"/>
    </font>
    <font>
      <name val="Calibri"/>
      <family val="2"/>
      <b val="1"/>
      <color rgb="FF1E3A5F"/>
      <sz val="10"/>
    </font>
    <font>
      <name val="Calibri"/>
      <family val="2"/>
      <color rgb="FF303030"/>
      <sz val="10"/>
    </font>
    <font>
      <name val="Calibri"/>
      <family val="2"/>
      <i val="1"/>
      <color rgb="FF505050"/>
      <sz val="10"/>
    </font>
    <font>
      <name val="Calibri"/>
      <family val="2"/>
      <b val="1"/>
      <color rgb="FFFFFFFF"/>
      <sz val="13"/>
    </font>
    <font>
      <name val="Cambria"/>
      <family val="1"/>
      <color rgb="FF1A1A19"/>
      <sz val="8.5"/>
      <scheme val="major"/>
    </font>
    <font>
      <name val="Cambria"/>
      <family val="1"/>
      <b val="1"/>
      <color rgb="FFC8892A"/>
      <sz val="11"/>
      <scheme val="major"/>
    </font>
    <font>
      <name val="Cambria"/>
      <family val="1"/>
      <b val="1"/>
      <color rgb="FF1A1A19"/>
      <sz val="11"/>
      <scheme val="major"/>
    </font>
    <font>
      <name val="Cambria"/>
      <family val="1"/>
      <b val="1"/>
      <color rgb="FF1A1A19"/>
      <sz val="10"/>
      <scheme val="major"/>
    </font>
    <font>
      <name val="Cambria"/>
      <family val="1"/>
      <b val="1"/>
      <color rgb="FF5C5B57"/>
      <sz val="8.5"/>
      <scheme val="major"/>
    </font>
    <font>
      <name val="Cambria"/>
      <family val="1"/>
      <b val="1"/>
      <color rgb="FF1A1A19"/>
      <sz val="8.5"/>
      <scheme val="major"/>
    </font>
    <font>
      <name val="Cambria"/>
      <charset val="1"/>
      <b val="1"/>
      <color rgb="FF1B2B5E"/>
      <sz val="14"/>
    </font>
    <font>
      <name val="Cambria"/>
      <charset val="1"/>
      <i val="1"/>
      <color rgb="FF6B7280"/>
      <sz val="9"/>
    </font>
    <font>
      <name val="Cambria"/>
      <charset val="1"/>
      <b val="1"/>
      <color rgb="FFFFFFFF"/>
      <sz val="10"/>
    </font>
    <font>
      <name val="Cambria"/>
      <charset val="1"/>
      <color rgb="FF1F4E79"/>
      <sz val="11"/>
    </font>
    <font>
      <name val="Cambria"/>
      <charset val="1"/>
      <color rgb="FF6B7280"/>
      <sz val="9"/>
    </font>
    <font>
      <name val="Cambria"/>
      <charset val="1"/>
      <b val="1"/>
      <sz val="11"/>
    </font>
    <font>
      <name val="Cambria"/>
      <family val="1"/>
      <b val="1"/>
      <color theme="1"/>
      <sz val="16"/>
      <scheme val="major"/>
    </font>
    <font>
      <name val="Cambria"/>
      <family val="1"/>
      <color theme="1"/>
      <sz val="16"/>
      <scheme val="major"/>
    </font>
    <font>
      <name val="Cambria"/>
      <family val="1"/>
      <i val="1"/>
      <color rgb="FF6B7280"/>
      <sz val="9"/>
      <scheme val="major"/>
    </font>
    <font>
      <name val="Cambria"/>
      <family val="1"/>
      <color rgb="FF1F4E79"/>
      <sz val="11"/>
      <scheme val="major"/>
    </font>
    <font>
      <name val="Cambria"/>
      <family val="1"/>
      <b val="1"/>
      <color rgb="FFFFFFFF"/>
      <sz val="14"/>
      <scheme val="major"/>
    </font>
    <font>
      <name val="Cambria"/>
      <family val="1"/>
      <i val="1"/>
      <color rgb="FF1E3A5F"/>
      <sz val="10"/>
      <scheme val="major"/>
    </font>
    <font>
      <name val="Cambria"/>
      <family val="1"/>
      <b val="1"/>
      <color rgb="FF990000"/>
      <sz val="10"/>
      <scheme val="major"/>
    </font>
    <font>
      <name val="Cambria"/>
      <family val="1"/>
      <b val="1"/>
      <color rgb="FF404040"/>
      <sz val="10"/>
      <scheme val="major"/>
    </font>
    <font>
      <name val="Cambria"/>
      <family val="1"/>
      <i val="1"/>
      <color rgb="FF008000"/>
      <sz val="10"/>
      <scheme val="major"/>
    </font>
    <font>
      <name val="Cambria"/>
      <family val="1"/>
      <i val="1"/>
      <color rgb="FFCC0000"/>
      <sz val="10"/>
      <scheme val="major"/>
    </font>
    <font>
      <name val="Cambria"/>
      <family val="1"/>
      <i val="1"/>
      <color rgb="FFFF0000"/>
      <sz val="10"/>
      <scheme val="major"/>
    </font>
    <font>
      <name val="Cambria"/>
      <family val="1"/>
      <b val="1"/>
      <i val="1"/>
      <color rgb="FF008000"/>
      <sz val="10"/>
      <scheme val="major"/>
    </font>
    <font>
      <name val="Cambria"/>
      <family val="1"/>
      <b val="1"/>
      <color rgb="FFCC0000"/>
      <sz val="10"/>
      <scheme val="major"/>
    </font>
    <font>
      <name val="Cambria"/>
      <family val="1"/>
      <b val="1"/>
      <color rgb="FFFF0000"/>
      <sz val="10"/>
      <scheme val="major"/>
    </font>
    <font>
      <name val="Cambria"/>
      <family val="1"/>
      <b val="1"/>
      <color rgb="FF008000"/>
      <sz val="10"/>
      <scheme val="major"/>
    </font>
    <font>
      <name val="Cambria"/>
      <family val="1"/>
      <i val="1"/>
      <color rgb="FF505050"/>
      <sz val="9"/>
      <scheme val="major"/>
    </font>
    <font>
      <name val="Cambria"/>
      <family val="1"/>
      <i val="1"/>
      <color rgb="FF505050"/>
      <sz val="10"/>
      <scheme val="major"/>
    </font>
    <font>
      <name val="Cambria"/>
      <family val="1"/>
      <color rgb="FF505050"/>
      <sz val="10"/>
      <scheme val="major"/>
    </font>
    <font>
      <name val="Cambria"/>
      <family val="1"/>
      <color rgb="FF008000"/>
      <sz val="10"/>
      <scheme val="major"/>
    </font>
    <font>
      <name val="Cambria"/>
      <family val="1"/>
      <b val="1"/>
      <color rgb="FF008B8B"/>
      <sz val="11"/>
      <scheme val="major"/>
    </font>
    <font>
      <name val="Cambria"/>
      <family val="1"/>
      <b val="1"/>
      <color rgb="FFFFAAAA"/>
      <sz val="10"/>
      <scheme val="major"/>
    </font>
    <font>
      <name val="Cambria"/>
      <family val="1"/>
      <b val="1"/>
      <color rgb="FFAAFFAA"/>
      <sz val="10"/>
      <scheme val="major"/>
    </font>
    <font>
      <name val="Calibri"/>
      <family val="2"/>
      <color rgb="FF1A1A19"/>
      <sz val="9"/>
    </font>
    <font>
      <name val="Cambria"/>
      <family val="1"/>
      <color rgb="FF5C5B57"/>
      <sz val="12"/>
      <scheme val="major"/>
    </font>
    <font>
      <name val="Calibri"/>
      <b val="1"/>
      <color rgb="000F2942"/>
      <sz val="14"/>
    </font>
    <font>
      <name val="Calibri"/>
      <color rgb="005C5B57"/>
      <sz val="9"/>
    </font>
    <font>
      <name val="Calibri"/>
      <b val="1"/>
      <color rgb="000F6E6A"/>
      <sz val="11"/>
    </font>
    <font>
      <name val="Calibri"/>
      <b val="1"/>
      <color rgb="00FFFFFF"/>
      <sz val="9"/>
    </font>
    <font>
      <name val="Calibri"/>
      <color rgb="001A1A19"/>
      <sz val="10"/>
    </font>
    <font>
      <name val="Calibri"/>
      <color rgb="001A1A19"/>
      <sz val="9"/>
    </font>
    <font>
      <name val="Calibri"/>
      <b val="1"/>
      <color rgb="000F2942"/>
      <sz val="9.5"/>
    </font>
    <font>
      <name val="Calibri"/>
      <b val="1"/>
      <color rgb="001A1A19"/>
      <sz val="9"/>
    </font>
    <font>
      <name val="Calibri"/>
      <b val="1"/>
      <color rgb="00C8892A"/>
      <sz val="10"/>
    </font>
    <font>
      <name val="Calibri"/>
      <b val="1"/>
      <color rgb="00C8892A"/>
      <sz val="11"/>
    </font>
  </fonts>
  <fills count="28">
    <fill>
      <patternFill/>
    </fill>
    <fill>
      <patternFill patternType="gray125"/>
    </fill>
    <fill>
      <patternFill patternType="solid">
        <fgColor rgb="FF0F2942"/>
      </patternFill>
    </fill>
    <fill>
      <patternFill patternType="solid">
        <fgColor rgb="FFF3F5F7"/>
      </patternFill>
    </fill>
    <fill>
      <patternFill patternType="solid">
        <fgColor rgb="FFE9EDF0"/>
      </patternFill>
    </fill>
    <fill>
      <patternFill patternType="solid">
        <fgColor rgb="FFF2F2F2"/>
      </patternFill>
    </fill>
    <fill>
      <patternFill patternType="solid">
        <fgColor rgb="FF1E3A5F"/>
      </patternFill>
    </fill>
    <fill>
      <patternFill patternType="solid">
        <fgColor rgb="FFDAE8F5"/>
      </patternFill>
    </fill>
    <fill>
      <patternFill patternType="solid">
        <fgColor rgb="FF008B8B"/>
      </patternFill>
    </fill>
    <fill>
      <patternFill patternType="solid">
        <fgColor rgb="FFB8860B"/>
      </patternFill>
    </fill>
    <fill>
      <patternFill patternType="solid">
        <fgColor rgb="FFFFFFFF"/>
      </patternFill>
    </fill>
    <fill>
      <patternFill patternType="solid">
        <fgColor rgb="FFEEF4FF"/>
      </patternFill>
    </fill>
    <fill>
      <patternFill patternType="solid">
        <fgColor rgb="FFE8F7F0"/>
      </patternFill>
    </fill>
    <fill>
      <patternFill patternType="solid">
        <fgColor rgb="FFF0F4FF"/>
      </patternFill>
    </fill>
    <fill>
      <patternFill patternType="solid">
        <fgColor rgb="FF1B2B5E"/>
        <bgColor rgb="FF333333"/>
      </patternFill>
    </fill>
    <fill>
      <patternFill patternType="solid">
        <fgColor rgb="FFF3F4F6"/>
        <bgColor rgb="FFE8F0E8"/>
      </patternFill>
    </fill>
    <fill>
      <patternFill patternType="solid">
        <fgColor rgb="FFFFE8E8"/>
      </patternFill>
    </fill>
    <fill>
      <patternFill patternType="solid">
        <fgColor rgb="FFE2EFDA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700"/>
      </patternFill>
    </fill>
    <fill>
      <patternFill patternType="solid">
        <fgColor rgb="FFF9F9EE"/>
      </patternFill>
    </fill>
    <fill>
      <patternFill patternType="solid">
        <fgColor rgb="FFC00000"/>
      </patternFill>
    </fill>
    <fill>
      <patternFill patternType="solid">
        <fgColor rgb="FFFFFDE7"/>
      </patternFill>
    </fill>
    <fill>
      <patternFill patternType="solid">
        <fgColor rgb="FFE8F0E8"/>
        <bgColor rgb="FFF3F4F6"/>
      </patternFill>
    </fill>
    <fill>
      <patternFill patternType="solid">
        <fgColor rgb="FFC9A84C"/>
        <bgColor rgb="FFFF9900"/>
      </patternFill>
    </fill>
    <fill>
      <patternFill patternType="solid">
        <fgColor rgb="000F2942"/>
      </patternFill>
    </fill>
    <fill>
      <patternFill patternType="solid">
        <fgColor rgb="00E9EDF0"/>
      </patternFill>
    </fill>
  </fills>
  <borders count="12">
    <border>
      <left/>
      <right/>
      <top/>
      <bottom/>
      <diagonal/>
    </border>
    <border>
      <left style="thin">
        <color rgb="FFD8DCE0"/>
      </left>
      <right style="thin">
        <color rgb="FFD8DCE0"/>
      </right>
      <top style="thin">
        <color rgb="FFD8DCE0"/>
      </top>
      <bottom style="thin">
        <color rgb="FFD8DCE0"/>
      </bottom>
      <diagonal/>
    </border>
    <border>
      <left/>
      <right style="thin">
        <color rgb="FFD8DCE0"/>
      </right>
      <top style="thin">
        <color rgb="FFD8DCE0"/>
      </top>
      <bottom style="thin">
        <color rgb="FFD8DCE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8DCE0"/>
      </top>
      <bottom style="thin">
        <color rgb="FFD8DCE0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/>
      <top style="thin">
        <color rgb="FFD8DCE0"/>
      </top>
      <bottom/>
      <diagonal/>
    </border>
    <border>
      <left/>
      <right style="thin">
        <color rgb="FFD8DCE0"/>
      </right>
      <top style="thin">
        <color rgb="FFD8DCE0"/>
      </top>
      <bottom/>
      <diagonal/>
    </border>
    <border>
      <left style="thin">
        <color rgb="00D8DCE0"/>
      </left>
      <right style="thin">
        <color rgb="00D8DCE0"/>
      </right>
      <top style="thin">
        <color rgb="00D8DCE0"/>
      </top>
      <bottom style="thin">
        <color rgb="00D8DCE0"/>
      </bottom>
    </border>
  </borders>
  <cellStyleXfs count="4">
    <xf numFmtId="0" fontId="1" fillId="0" borderId="0"/>
    <xf numFmtId="0" fontId="1" fillId="0" borderId="0"/>
    <xf numFmtId="0" fontId="36" fillId="0" borderId="0"/>
    <xf numFmtId="0" fontId="1" fillId="0" borderId="0"/>
  </cellStyleXfs>
  <cellXfs count="292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8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5" fillId="0" borderId="0" pivotButton="0" quotePrefix="0" xfId="0"/>
    <xf numFmtId="0" fontId="9" fillId="3" borderId="0" pivotButton="0" quotePrefix="0" xfId="0"/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1" fillId="3" borderId="0" pivotButton="0" quotePrefix="0" xfId="0"/>
    <xf numFmtId="0" fontId="12" fillId="0" borderId="1" applyAlignment="1" pivotButton="0" quotePrefix="0" xfId="0">
      <alignment horizontal="left" vertical="center" wrapText="1"/>
    </xf>
    <xf numFmtId="0" fontId="2" fillId="4" borderId="0" pivotButton="0" quotePrefix="0" xfId="0"/>
    <xf numFmtId="0" fontId="13" fillId="0" borderId="0" pivotButton="0" quotePrefix="0" xfId="0"/>
    <xf numFmtId="0" fontId="14" fillId="2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center" vertical="center" wrapText="1"/>
    </xf>
    <xf numFmtId="0" fontId="15" fillId="4" borderId="1" pivotButton="0" quotePrefix="0" xfId="0"/>
    <xf numFmtId="0" fontId="18" fillId="0" borderId="0" pivotButton="0" quotePrefix="0" xfId="0"/>
    <xf numFmtId="0" fontId="7" fillId="0" borderId="0" pivotButton="0" quotePrefix="0" xfId="0"/>
    <xf numFmtId="0" fontId="19" fillId="6" borderId="0" applyAlignment="1" pivotButton="0" quotePrefix="0" xfId="1">
      <alignment horizontal="center" vertical="center"/>
    </xf>
    <xf numFmtId="0" fontId="2" fillId="0" borderId="0" pivotButton="0" quotePrefix="0" xfId="1"/>
    <xf numFmtId="0" fontId="20" fillId="7" borderId="0" applyAlignment="1" pivotButton="0" quotePrefix="0" xfId="1">
      <alignment horizontal="center" vertical="center"/>
    </xf>
    <xf numFmtId="0" fontId="10" fillId="6" borderId="0" applyAlignment="1" pivotButton="0" quotePrefix="0" xfId="1">
      <alignment horizontal="left" vertical="center"/>
    </xf>
    <xf numFmtId="0" fontId="10" fillId="8" borderId="0" applyAlignment="1" pivotButton="0" quotePrefix="0" xfId="1">
      <alignment horizontal="center" vertical="center" wrapText="1"/>
    </xf>
    <xf numFmtId="0" fontId="10" fillId="9" borderId="0" applyAlignment="1" pivotButton="0" quotePrefix="0" xfId="1">
      <alignment horizontal="center" vertical="center" wrapText="1"/>
    </xf>
    <xf numFmtId="0" fontId="21" fillId="10" borderId="0" applyAlignment="1" pivotButton="0" quotePrefix="0" xfId="1">
      <alignment horizontal="left" vertical="center"/>
    </xf>
    <xf numFmtId="3" fontId="22" fillId="10" borderId="0" applyAlignment="1" pivotButton="0" quotePrefix="0" xfId="1">
      <alignment horizontal="right" vertical="center"/>
    </xf>
    <xf numFmtId="3" fontId="23" fillId="10" borderId="0" applyAlignment="1" pivotButton="0" quotePrefix="0" xfId="1">
      <alignment horizontal="right" vertical="center"/>
    </xf>
    <xf numFmtId="3" fontId="24" fillId="10" borderId="0" applyAlignment="1" pivotButton="0" quotePrefix="0" xfId="1">
      <alignment horizontal="right" vertical="center"/>
    </xf>
    <xf numFmtId="0" fontId="21" fillId="5" borderId="0" applyAlignment="1" pivotButton="0" quotePrefix="0" xfId="1">
      <alignment horizontal="left" vertical="center"/>
    </xf>
    <xf numFmtId="3" fontId="22" fillId="5" borderId="0" applyAlignment="1" pivotButton="0" quotePrefix="0" xfId="1">
      <alignment horizontal="right" vertical="center"/>
    </xf>
    <xf numFmtId="3" fontId="23" fillId="5" borderId="0" applyAlignment="1" pivotButton="0" quotePrefix="0" xfId="1">
      <alignment horizontal="right" vertical="center"/>
    </xf>
    <xf numFmtId="0" fontId="25" fillId="5" borderId="0" applyAlignment="1" pivotButton="0" quotePrefix="0" xfId="1">
      <alignment horizontal="center" vertical="center"/>
    </xf>
    <xf numFmtId="0" fontId="25" fillId="10" borderId="0" applyAlignment="1" pivotButton="0" quotePrefix="0" xfId="1">
      <alignment horizontal="center" vertical="center"/>
    </xf>
    <xf numFmtId="0" fontId="26" fillId="7" borderId="0" applyAlignment="1" pivotButton="0" quotePrefix="0" xfId="1">
      <alignment horizontal="left" vertical="center"/>
    </xf>
    <xf numFmtId="3" fontId="26" fillId="7" borderId="0" applyAlignment="1" pivotButton="0" quotePrefix="0" xfId="1">
      <alignment horizontal="right" vertical="center"/>
    </xf>
    <xf numFmtId="0" fontId="27" fillId="0" borderId="0" applyAlignment="1" pivotButton="0" quotePrefix="0" xfId="1">
      <alignment horizontal="left" vertical="center"/>
    </xf>
    <xf numFmtId="0" fontId="27" fillId="0" borderId="0" pivotButton="0" quotePrefix="0" xfId="1"/>
    <xf numFmtId="3" fontId="23" fillId="0" borderId="0" applyAlignment="1" pivotButton="0" quotePrefix="0" xfId="1">
      <alignment horizontal="right" vertical="center"/>
    </xf>
    <xf numFmtId="3" fontId="10" fillId="6" borderId="0" applyAlignment="1" pivotButton="0" quotePrefix="0" xfId="1">
      <alignment horizontal="right" vertical="center"/>
    </xf>
    <xf numFmtId="0" fontId="26" fillId="11" borderId="0" applyAlignment="1" pivotButton="0" quotePrefix="0" xfId="1">
      <alignment horizontal="left" vertical="center"/>
    </xf>
    <xf numFmtId="0" fontId="28" fillId="0" borderId="0" pivotButton="0" quotePrefix="0" xfId="1"/>
    <xf numFmtId="0" fontId="26" fillId="11" borderId="0" applyAlignment="1" pivotButton="0" quotePrefix="0" xfId="1">
      <alignment horizontal="center" vertical="center"/>
    </xf>
    <xf numFmtId="0" fontId="26" fillId="0" borderId="0" pivotButton="0" quotePrefix="0" xfId="1"/>
    <xf numFmtId="0" fontId="10" fillId="6" borderId="0" applyAlignment="1" pivotButton="0" quotePrefix="0" xfId="1">
      <alignment horizontal="center" vertical="center"/>
    </xf>
    <xf numFmtId="0" fontId="2" fillId="0" borderId="0" pivotButton="0" quotePrefix="0" xfId="1"/>
    <xf numFmtId="0" fontId="10" fillId="8" borderId="0" applyAlignment="1" pivotButton="0" quotePrefix="0" xfId="1">
      <alignment horizontal="center" vertical="center" wrapText="1"/>
    </xf>
    <xf numFmtId="0" fontId="29" fillId="7" borderId="0" applyAlignment="1" pivotButton="0" quotePrefix="0" xfId="1">
      <alignment horizontal="left" vertical="center"/>
    </xf>
    <xf numFmtId="0" fontId="30" fillId="5" borderId="0" applyAlignment="1" pivotButton="0" quotePrefix="0" xfId="1">
      <alignment horizontal="left" vertical="center"/>
    </xf>
    <xf numFmtId="3" fontId="21" fillId="5" borderId="0" applyAlignment="1" pivotButton="0" quotePrefix="0" xfId="1">
      <alignment horizontal="right" vertical="center"/>
    </xf>
    <xf numFmtId="0" fontId="31" fillId="5" borderId="0" applyAlignment="1" pivotButton="0" quotePrefix="0" xfId="1">
      <alignment horizontal="center" vertical="center"/>
    </xf>
    <xf numFmtId="0" fontId="30" fillId="10" borderId="0" applyAlignment="1" pivotButton="0" quotePrefix="0" xfId="1">
      <alignment horizontal="left" vertical="center"/>
    </xf>
    <xf numFmtId="3" fontId="21" fillId="10" borderId="0" applyAlignment="1" pivotButton="0" quotePrefix="0" xfId="1">
      <alignment horizontal="right" vertical="center"/>
    </xf>
    <xf numFmtId="0" fontId="31" fillId="10" borderId="0" applyAlignment="1" pivotButton="0" quotePrefix="0" xfId="1">
      <alignment horizontal="center" vertical="center"/>
    </xf>
    <xf numFmtId="0" fontId="30" fillId="12" borderId="0" applyAlignment="1" pivotButton="0" quotePrefix="0" xfId="1">
      <alignment horizontal="left" vertical="center"/>
    </xf>
    <xf numFmtId="3" fontId="21" fillId="12" borderId="0" applyAlignment="1" pivotButton="0" quotePrefix="0" xfId="1">
      <alignment horizontal="right" vertical="center"/>
    </xf>
    <xf numFmtId="0" fontId="32" fillId="12" borderId="0" applyAlignment="1" pivotButton="0" quotePrefix="0" xfId="1">
      <alignment horizontal="center" vertical="center"/>
    </xf>
    <xf numFmtId="0" fontId="33" fillId="13" borderId="0" applyAlignment="1" pivotButton="0" quotePrefix="0" xfId="1">
      <alignment horizontal="right" vertical="center"/>
    </xf>
    <xf numFmtId="3" fontId="34" fillId="13" borderId="0" applyAlignment="1" pivotButton="0" quotePrefix="0" xfId="1">
      <alignment horizontal="right" vertical="center"/>
    </xf>
    <xf numFmtId="0" fontId="2" fillId="13" borderId="0" pivotButton="0" quotePrefix="0" xfId="1"/>
    <xf numFmtId="0" fontId="32" fillId="13" borderId="0" applyAlignment="1" pivotButton="0" quotePrefix="0" xfId="1">
      <alignment horizontal="right" vertical="center"/>
    </xf>
    <xf numFmtId="3" fontId="35" fillId="13" borderId="0" applyAlignment="1" pivotButton="0" quotePrefix="0" xfId="1">
      <alignment horizontal="right" vertical="center"/>
    </xf>
    <xf numFmtId="0" fontId="10" fillId="6" borderId="0" applyAlignment="1" pivotButton="0" quotePrefix="0" xfId="1">
      <alignment horizontal="right" vertical="center"/>
    </xf>
    <xf numFmtId="0" fontId="2" fillId="6" borderId="0" pivotButton="0" quotePrefix="0" xfId="1"/>
    <xf numFmtId="0" fontId="1" fillId="0" borderId="0" pivotButton="0" quotePrefix="0" xfId="3"/>
    <xf numFmtId="0" fontId="1" fillId="0" borderId="0" pivotButton="0" quotePrefix="0" xfId="3"/>
    <xf numFmtId="0" fontId="37" fillId="8" borderId="0" applyAlignment="1" pivotButton="0" quotePrefix="0" xfId="3">
      <alignment horizontal="center" vertical="center" wrapText="1"/>
    </xf>
    <xf numFmtId="0" fontId="38" fillId="5" borderId="0" applyAlignment="1" pivotButton="0" quotePrefix="0" xfId="3">
      <alignment horizontal="left" vertical="center"/>
    </xf>
    <xf numFmtId="0" fontId="41" fillId="6" borderId="0" applyAlignment="1" pivotButton="0" quotePrefix="0" xfId="3">
      <alignment horizontal="center" vertical="center"/>
    </xf>
    <xf numFmtId="0" fontId="1" fillId="0" borderId="0" applyAlignment="1" pivotButton="0" quotePrefix="0" xfId="3">
      <alignment wrapText="1"/>
    </xf>
    <xf numFmtId="0" fontId="13" fillId="0" borderId="0" applyAlignment="1" pivotButton="0" quotePrefix="0" xfId="0">
      <alignment horizontal="left" vertical="center" wrapText="1"/>
    </xf>
    <xf numFmtId="0" fontId="2" fillId="0" borderId="4" applyAlignment="1" pivotButton="0" quotePrefix="0" xfId="0">
      <alignment vertical="top"/>
    </xf>
    <xf numFmtId="0" fontId="2" fillId="0" borderId="2" applyAlignment="1" pivotButton="0" quotePrefix="0" xfId="0">
      <alignment vertical="top"/>
    </xf>
    <xf numFmtId="9" fontId="15" fillId="4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top" wrapText="1"/>
    </xf>
    <xf numFmtId="9" fontId="8" fillId="0" borderId="1" applyAlignment="1" pivotButton="0" quotePrefix="0" xfId="0">
      <alignment horizontal="right" vertical="top"/>
    </xf>
    <xf numFmtId="0" fontId="13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vertical="top"/>
    </xf>
    <xf numFmtId="3" fontId="8" fillId="0" borderId="1" applyAlignment="1" pivotButton="0" quotePrefix="0" xfId="0">
      <alignment horizontal="right" vertical="top"/>
    </xf>
    <xf numFmtId="0" fontId="8" fillId="0" borderId="1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/>
    </xf>
    <xf numFmtId="0" fontId="16" fillId="0" borderId="0" applyAlignment="1" pivotButton="0" quotePrefix="0" xfId="0">
      <alignment vertical="top"/>
    </xf>
    <xf numFmtId="0" fontId="14" fillId="2" borderId="1" applyAlignment="1" pivotButton="0" quotePrefix="0" xfId="0">
      <alignment horizontal="left" vertical="top" wrapText="1"/>
    </xf>
    <xf numFmtId="0" fontId="14" fillId="2" borderId="1" applyAlignment="1" pivotButton="0" quotePrefix="0" xfId="0">
      <alignment horizontal="center" vertical="top" wrapText="1"/>
    </xf>
    <xf numFmtId="0" fontId="15" fillId="4" borderId="1" applyAlignment="1" pivotButton="0" quotePrefix="0" xfId="0">
      <alignment vertical="top"/>
    </xf>
    <xf numFmtId="3" fontId="15" fillId="4" borderId="1" applyAlignment="1" pivotButton="0" quotePrefix="0" xfId="0">
      <alignment horizontal="right" vertical="top"/>
    </xf>
    <xf numFmtId="0" fontId="2" fillId="4" borderId="0" applyAlignment="1" pivotButton="0" quotePrefix="0" xfId="0">
      <alignment vertical="top"/>
    </xf>
    <xf numFmtId="0" fontId="44" fillId="0" borderId="1" applyAlignment="1" pivotButton="0" quotePrefix="0" xfId="0">
      <alignment vertical="top"/>
    </xf>
    <xf numFmtId="164" fontId="8" fillId="0" borderId="1" applyAlignment="1" pivotButton="0" quotePrefix="0" xfId="0">
      <alignment horizontal="right" vertical="top"/>
    </xf>
    <xf numFmtId="164" fontId="15" fillId="4" borderId="1" applyAlignment="1" pivotButton="0" quotePrefix="0" xfId="0">
      <alignment horizontal="right" vertical="top"/>
    </xf>
    <xf numFmtId="0" fontId="43" fillId="0" borderId="1" applyAlignment="1" pivotButton="0" quotePrefix="0" xfId="0">
      <alignment vertical="top"/>
    </xf>
    <xf numFmtId="165" fontId="43" fillId="0" borderId="1" applyAlignment="1" pivotButton="0" quotePrefix="0" xfId="0">
      <alignment horizontal="right" vertical="top"/>
    </xf>
    <xf numFmtId="166" fontId="43" fillId="0" borderId="1" applyAlignment="1" pivotButton="0" quotePrefix="0" xfId="0">
      <alignment horizontal="right" vertical="top"/>
    </xf>
    <xf numFmtId="0" fontId="1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7" fillId="0" borderId="1" pivotButton="0" quotePrefix="0" xfId="0"/>
    <xf numFmtId="3" fontId="9" fillId="0" borderId="1" applyAlignment="1" pivotButton="0" quotePrefix="0" xfId="0">
      <alignment horizontal="right" vertical="center"/>
    </xf>
    <xf numFmtId="0" fontId="45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166" fontId="9" fillId="0" borderId="1" applyAlignment="1" pivotButton="0" quotePrefix="0" xfId="0">
      <alignment horizontal="right" vertical="center"/>
    </xf>
    <xf numFmtId="0" fontId="46" fillId="0" borderId="0" pivotButton="0" quotePrefix="0" xfId="0"/>
    <xf numFmtId="0" fontId="47" fillId="0" borderId="0" pivotButton="0" quotePrefix="0" xfId="0"/>
    <xf numFmtId="0" fontId="47" fillId="0" borderId="0" applyAlignment="1" pivotButton="0" quotePrefix="0" xfId="0">
      <alignment horizontal="center" vertical="center"/>
    </xf>
    <xf numFmtId="0" fontId="42" fillId="0" borderId="0" pivotButton="0" quotePrefix="0" xfId="0"/>
    <xf numFmtId="3" fontId="42" fillId="0" borderId="0" applyAlignment="1" pivotButton="0" quotePrefix="0" xfId="0">
      <alignment horizontal="right" vertical="center"/>
    </xf>
    <xf numFmtId="0" fontId="11" fillId="0" borderId="0" pivotButton="0" quotePrefix="0" xfId="0"/>
    <xf numFmtId="164" fontId="12" fillId="0" borderId="1" applyAlignment="1" pivotButton="0" quotePrefix="0" xfId="0">
      <alignment horizontal="right" vertical="center"/>
    </xf>
    <xf numFmtId="0" fontId="9" fillId="0" borderId="0" pivotButton="0" quotePrefix="0" xfId="0"/>
    <xf numFmtId="0" fontId="7" fillId="0" borderId="0" pivotButton="0" quotePrefix="0" xfId="0"/>
    <xf numFmtId="0" fontId="37" fillId="8" borderId="0" pivotButton="0" quotePrefix="0" xfId="3"/>
    <xf numFmtId="0" fontId="38" fillId="10" borderId="0" applyAlignment="1" pivotButton="0" quotePrefix="0" xfId="3">
      <alignment horizontal="left" vertical="center"/>
    </xf>
    <xf numFmtId="0" fontId="39" fillId="10" borderId="0" applyAlignment="1" pivotButton="0" quotePrefix="0" xfId="3">
      <alignment horizontal="left" vertical="center" wrapText="1"/>
    </xf>
    <xf numFmtId="0" fontId="40" fillId="10" borderId="0" applyAlignment="1" pivotButton="0" quotePrefix="0" xfId="3">
      <alignment horizontal="left" vertical="center" wrapText="1"/>
    </xf>
    <xf numFmtId="0" fontId="39" fillId="5" borderId="0" applyAlignment="1" pivotButton="0" quotePrefix="0" xfId="3">
      <alignment horizontal="left" vertical="center" wrapText="1"/>
    </xf>
    <xf numFmtId="0" fontId="40" fillId="5" borderId="0" applyAlignment="1" pivotButton="0" quotePrefix="0" xfId="3">
      <alignment horizontal="left" vertical="center" wrapText="1"/>
    </xf>
    <xf numFmtId="0" fontId="37" fillId="8" borderId="0" pivotButton="0" quotePrefix="0" xfId="3"/>
    <xf numFmtId="0" fontId="48" fillId="0" borderId="0" pivotButton="0" quotePrefix="0" xfId="0"/>
    <xf numFmtId="0" fontId="49" fillId="0" borderId="0" pivotButton="0" quotePrefix="0" xfId="0"/>
    <xf numFmtId="0" fontId="50" fillId="14" borderId="3" applyAlignment="1" pivotButton="0" quotePrefix="0" xfId="0">
      <alignment horizontal="center" vertical="center" wrapText="1"/>
    </xf>
    <xf numFmtId="0" fontId="51" fillId="0" borderId="0" pivotButton="0" quotePrefix="0" xfId="0"/>
    <xf numFmtId="3" fontId="51" fillId="0" borderId="0" pivotButton="0" quotePrefix="0" xfId="0"/>
    <xf numFmtId="0" fontId="52" fillId="0" borderId="0" pivotButton="0" quotePrefix="0" xfId="0"/>
    <xf numFmtId="0" fontId="0" fillId="24" borderId="0" pivotButton="0" quotePrefix="0" xfId="0"/>
    <xf numFmtId="0" fontId="51" fillId="24" borderId="0" pivotButton="0" quotePrefix="0" xfId="0"/>
    <xf numFmtId="3" fontId="51" fillId="24" borderId="0" pivotButton="0" quotePrefix="0" xfId="0"/>
    <xf numFmtId="0" fontId="52" fillId="24" borderId="0" pivotButton="0" quotePrefix="0" xfId="0"/>
    <xf numFmtId="0" fontId="53" fillId="25" borderId="0" pivotButton="0" quotePrefix="0" xfId="0"/>
    <xf numFmtId="0" fontId="0" fillId="25" borderId="0" pivotButton="0" quotePrefix="0" xfId="0"/>
    <xf numFmtId="3" fontId="53" fillId="25" borderId="0" pivotButton="0" quotePrefix="0" xfId="0"/>
    <xf numFmtId="0" fontId="54" fillId="0" borderId="0" pivotButton="0" quotePrefix="0" xfId="0"/>
    <xf numFmtId="0" fontId="55" fillId="0" borderId="0" pivotButton="0" quotePrefix="0" xfId="0"/>
    <xf numFmtId="0" fontId="2" fillId="0" borderId="0" pivotButton="0" quotePrefix="0" xfId="2"/>
    <xf numFmtId="3" fontId="2" fillId="0" borderId="0" pivotButton="0" quotePrefix="0" xfId="2"/>
    <xf numFmtId="9" fontId="2" fillId="0" borderId="0" pivotButton="0" quotePrefix="0" xfId="2"/>
    <xf numFmtId="0" fontId="10" fillId="14" borderId="3" applyAlignment="1" pivotButton="0" quotePrefix="0" xfId="2">
      <alignment horizontal="center" vertical="center" wrapText="1"/>
    </xf>
    <xf numFmtId="3" fontId="10" fillId="14" borderId="3" applyAlignment="1" pivotButton="0" quotePrefix="0" xfId="2">
      <alignment horizontal="center" vertical="center" wrapText="1"/>
    </xf>
    <xf numFmtId="3" fontId="57" fillId="15" borderId="0" pivotButton="0" quotePrefix="0" xfId="2"/>
    <xf numFmtId="3" fontId="57" fillId="0" borderId="0" pivotButton="0" quotePrefix="0" xfId="2"/>
    <xf numFmtId="3" fontId="2" fillId="15" borderId="0" pivotButton="0" quotePrefix="0" xfId="2"/>
    <xf numFmtId="2" fontId="57" fillId="15" borderId="0" pivotButton="0" quotePrefix="0" xfId="2"/>
    <xf numFmtId="2" fontId="2" fillId="0" borderId="0" pivotButton="0" quotePrefix="0" xfId="2"/>
    <xf numFmtId="0" fontId="2" fillId="0" borderId="0" applyAlignment="1" pivotButton="0" quotePrefix="0" xfId="2">
      <alignment horizontal="center"/>
    </xf>
    <xf numFmtId="0" fontId="2" fillId="15" borderId="0" applyAlignment="1" pivotButton="0" quotePrefix="0" xfId="2">
      <alignment horizontal="center"/>
    </xf>
    <xf numFmtId="0" fontId="2" fillId="15" borderId="0" applyAlignment="1" pivotButton="0" quotePrefix="0" xfId="2">
      <alignment horizontal="left"/>
    </xf>
    <xf numFmtId="0" fontId="2" fillId="0" borderId="0" applyAlignment="1" pivotButton="0" quotePrefix="0" xfId="2">
      <alignment horizontal="left"/>
    </xf>
    <xf numFmtId="0" fontId="2" fillId="0" borderId="0" applyAlignment="1" pivotButton="0" quotePrefix="0" xfId="2">
      <alignment horizontal="left" vertical="top" wrapText="1"/>
    </xf>
    <xf numFmtId="0" fontId="2" fillId="0" borderId="0" applyAlignment="1" pivotButton="0" quotePrefix="0" xfId="2">
      <alignment horizontal="center" vertical="top"/>
    </xf>
    <xf numFmtId="2" fontId="57" fillId="0" borderId="0" applyAlignment="1" pivotButton="0" quotePrefix="0" xfId="2">
      <alignment vertical="top"/>
    </xf>
    <xf numFmtId="9" fontId="2" fillId="0" borderId="0" applyAlignment="1" pivotButton="0" quotePrefix="0" xfId="2">
      <alignment vertical="top"/>
    </xf>
    <xf numFmtId="0" fontId="2" fillId="0" borderId="0" applyAlignment="1" pivotButton="0" quotePrefix="0" xfId="2">
      <alignment vertical="top"/>
    </xf>
    <xf numFmtId="0" fontId="2" fillId="15" borderId="0" applyAlignment="1" pivotButton="0" quotePrefix="0" xfId="2">
      <alignment horizontal="left" vertical="top" wrapText="1"/>
    </xf>
    <xf numFmtId="0" fontId="2" fillId="15" borderId="0" applyAlignment="1" pivotButton="0" quotePrefix="0" xfId="2">
      <alignment horizontal="center" vertical="top"/>
    </xf>
    <xf numFmtId="2" fontId="57" fillId="15" borderId="0" applyAlignment="1" pivotButton="0" quotePrefix="0" xfId="2">
      <alignment vertical="top"/>
    </xf>
    <xf numFmtId="2" fontId="2" fillId="15" borderId="0" applyAlignment="1" pivotButton="0" quotePrefix="0" xfId="2">
      <alignment vertical="top"/>
    </xf>
    <xf numFmtId="0" fontId="16" fillId="0" borderId="0" applyAlignment="1" pivotButton="0" quotePrefix="0" xfId="0">
      <alignment horizontal="left"/>
    </xf>
    <xf numFmtId="0" fontId="56" fillId="0" borderId="0" applyAlignment="1" pivotButton="0" quotePrefix="0" xfId="2">
      <alignment horizontal="left"/>
    </xf>
    <xf numFmtId="0" fontId="10" fillId="14" borderId="3" applyAlignment="1" pivotButton="0" quotePrefix="0" xfId="2">
      <alignment horizontal="left" vertical="center"/>
    </xf>
    <xf numFmtId="0" fontId="10" fillId="14" borderId="3" applyAlignment="1" pivotButton="0" quotePrefix="0" xfId="2">
      <alignment horizontal="left" vertical="center" wrapText="1"/>
    </xf>
    <xf numFmtId="0" fontId="2" fillId="15" borderId="0" applyAlignment="1" pivotButton="0" quotePrefix="0" xfId="2">
      <alignment horizontal="left" wrapText="1"/>
    </xf>
    <xf numFmtId="0" fontId="10" fillId="14" borderId="5" applyAlignment="1" pivotButton="0" quotePrefix="0" xfId="2">
      <alignment horizontal="left" vertical="center"/>
    </xf>
    <xf numFmtId="0" fontId="10" fillId="14" borderId="6" applyAlignment="1" pivotButton="0" quotePrefix="0" xfId="2">
      <alignment horizontal="left" vertical="center"/>
    </xf>
    <xf numFmtId="0" fontId="58" fillId="6" borderId="0" applyAlignment="1" pivotButton="0" quotePrefix="0" xfId="3">
      <alignment horizontal="center" vertical="center"/>
    </xf>
    <xf numFmtId="0" fontId="2" fillId="0" borderId="0" pivotButton="0" quotePrefix="0" xfId="3"/>
    <xf numFmtId="0" fontId="2" fillId="0" borderId="0" pivotButton="0" quotePrefix="0" xfId="3"/>
    <xf numFmtId="0" fontId="59" fillId="7" borderId="0" applyAlignment="1" pivotButton="0" quotePrefix="0" xfId="3">
      <alignment horizontal="center" vertical="center"/>
    </xf>
    <xf numFmtId="0" fontId="10" fillId="6" borderId="0" applyAlignment="1" pivotButton="0" quotePrefix="0" xfId="3">
      <alignment horizontal="left" vertical="center"/>
    </xf>
    <xf numFmtId="0" fontId="10" fillId="8" borderId="0" applyAlignment="1" pivotButton="0" quotePrefix="0" xfId="3">
      <alignment horizontal="center" vertical="center" wrapText="1"/>
    </xf>
    <xf numFmtId="0" fontId="10" fillId="9" borderId="0" applyAlignment="1" pivotButton="0" quotePrefix="0" xfId="3">
      <alignment horizontal="center" vertical="center" wrapText="1"/>
    </xf>
    <xf numFmtId="0" fontId="10" fillId="6" borderId="0" applyAlignment="1" pivotButton="0" quotePrefix="0" xfId="3">
      <alignment horizontal="left" vertical="center"/>
    </xf>
    <xf numFmtId="0" fontId="23" fillId="0" borderId="0" applyAlignment="1" pivotButton="0" quotePrefix="0" xfId="3">
      <alignment horizontal="left" vertical="center" indent="1"/>
    </xf>
    <xf numFmtId="3" fontId="24" fillId="0" borderId="0" applyAlignment="1" pivotButton="0" quotePrefix="0" xfId="3">
      <alignment horizontal="right" vertical="center"/>
    </xf>
    <xf numFmtId="3" fontId="2" fillId="0" borderId="0" pivotButton="0" quotePrefix="0" xfId="3"/>
    <xf numFmtId="0" fontId="26" fillId="7" borderId="0" applyAlignment="1" pivotButton="0" quotePrefix="0" xfId="3">
      <alignment horizontal="left" vertical="center"/>
    </xf>
    <xf numFmtId="3" fontId="26" fillId="7" borderId="0" applyAlignment="1" pivotButton="0" quotePrefix="0" xfId="3">
      <alignment horizontal="right" vertical="center"/>
    </xf>
    <xf numFmtId="0" fontId="23" fillId="0" borderId="0" applyAlignment="1" pivotButton="0" quotePrefix="0" xfId="3">
      <alignment horizontal="left" vertical="center" wrapText="1" indent="1"/>
    </xf>
    <xf numFmtId="3" fontId="23" fillId="0" borderId="0" applyAlignment="1" pivotButton="0" quotePrefix="0" xfId="3">
      <alignment horizontal="right" vertical="center"/>
    </xf>
    <xf numFmtId="0" fontId="60" fillId="16" borderId="0" applyAlignment="1" pivotButton="0" quotePrefix="0" xfId="3">
      <alignment horizontal="left" vertical="center"/>
    </xf>
    <xf numFmtId="3" fontId="60" fillId="16" borderId="0" applyAlignment="1" pivotButton="0" quotePrefix="0" xfId="3">
      <alignment horizontal="right" vertical="center"/>
    </xf>
    <xf numFmtId="0" fontId="26" fillId="17" borderId="0" applyAlignment="1" pivotButton="0" quotePrefix="0" xfId="3">
      <alignment horizontal="left" vertical="center"/>
    </xf>
    <xf numFmtId="3" fontId="26" fillId="17" borderId="0" applyAlignment="1" pivotButton="0" quotePrefix="0" xfId="3">
      <alignment horizontal="right" vertical="center"/>
    </xf>
    <xf numFmtId="0" fontId="27" fillId="0" borderId="0" applyAlignment="1" pivotButton="0" quotePrefix="0" xfId="3">
      <alignment horizontal="left" vertical="center"/>
    </xf>
    <xf numFmtId="165" fontId="34" fillId="0" borderId="0" applyAlignment="1" pivotButton="0" quotePrefix="0" xfId="3">
      <alignment horizontal="right" vertical="center"/>
    </xf>
    <xf numFmtId="165" fontId="61" fillId="0" borderId="0" applyAlignment="1" pivotButton="0" quotePrefix="0" xfId="3">
      <alignment horizontal="right" vertical="center"/>
    </xf>
    <xf numFmtId="0" fontId="10" fillId="8" borderId="0" applyAlignment="1" pivotButton="0" quotePrefix="0" xfId="3">
      <alignment horizontal="left" vertical="center"/>
    </xf>
    <xf numFmtId="0" fontId="21" fillId="0" borderId="0" applyAlignment="1" pivotButton="0" quotePrefix="0" xfId="3">
      <alignment horizontal="left" vertical="center" indent="2"/>
    </xf>
    <xf numFmtId="3" fontId="21" fillId="0" borderId="0" applyAlignment="1" pivotButton="0" quotePrefix="0" xfId="3">
      <alignment horizontal="right" vertical="center"/>
    </xf>
    <xf numFmtId="0" fontId="2" fillId="5" borderId="0" pivotButton="0" quotePrefix="0" xfId="3"/>
    <xf numFmtId="0" fontId="2" fillId="18" borderId="0" pivotButton="0" quotePrefix="0" xfId="3"/>
    <xf numFmtId="0" fontId="2" fillId="19" borderId="0" pivotButton="0" quotePrefix="0" xfId="3"/>
    <xf numFmtId="0" fontId="28" fillId="0" borderId="0" applyAlignment="1" pivotButton="0" quotePrefix="0" xfId="3">
      <alignment horizontal="left" vertical="center" indent="2"/>
    </xf>
    <xf numFmtId="0" fontId="27" fillId="0" borderId="0" applyAlignment="1" pivotButton="0" quotePrefix="0" xfId="3">
      <alignment horizontal="left" vertical="center" indent="2"/>
    </xf>
    <xf numFmtId="3" fontId="34" fillId="0" borderId="0" applyAlignment="1" pivotButton="0" quotePrefix="0" xfId="3">
      <alignment horizontal="right" vertical="center"/>
    </xf>
    <xf numFmtId="0" fontId="23" fillId="0" borderId="0" applyAlignment="1" pivotButton="0" quotePrefix="0" xfId="3">
      <alignment horizontal="left" vertical="top" wrapText="1"/>
    </xf>
    <xf numFmtId="3" fontId="23" fillId="0" borderId="0" applyAlignment="1" pivotButton="0" quotePrefix="0" xfId="3">
      <alignment horizontal="right" vertical="top"/>
    </xf>
    <xf numFmtId="0" fontId="2" fillId="0" borderId="0" applyAlignment="1" pivotButton="0" quotePrefix="0" xfId="3">
      <alignment vertical="top"/>
    </xf>
    <xf numFmtId="0" fontId="23" fillId="0" borderId="0" applyAlignment="1" pivotButton="0" quotePrefix="0" xfId="3">
      <alignment horizontal="left" vertical="center" indent="2"/>
    </xf>
    <xf numFmtId="0" fontId="23" fillId="0" borderId="0" applyAlignment="1" pivotButton="0" quotePrefix="0" xfId="3">
      <alignment horizontal="left" vertical="top" wrapText="1" indent="2"/>
    </xf>
    <xf numFmtId="0" fontId="23" fillId="0" borderId="0" applyAlignment="1" pivotButton="0" quotePrefix="0" xfId="3">
      <alignment horizontal="left" vertical="center" wrapText="1" indent="2"/>
    </xf>
    <xf numFmtId="0" fontId="26" fillId="20" borderId="0" applyAlignment="1" pivotButton="0" quotePrefix="0" xfId="3">
      <alignment horizontal="left" vertical="center"/>
    </xf>
    <xf numFmtId="3" fontId="26" fillId="20" borderId="0" applyAlignment="1" pivotButton="0" quotePrefix="0" xfId="3">
      <alignment horizontal="right" vertical="center"/>
    </xf>
    <xf numFmtId="3" fontId="10" fillId="6" borderId="0" applyAlignment="1" pivotButton="0" quotePrefix="0" xfId="3">
      <alignment horizontal="right" vertical="center"/>
    </xf>
    <xf numFmtId="0" fontId="28" fillId="0" borderId="0" applyAlignment="1" pivotButton="0" quotePrefix="0" xfId="3">
      <alignment horizontal="left" vertical="top" wrapText="1"/>
    </xf>
    <xf numFmtId="3" fontId="2" fillId="0" borderId="0" applyAlignment="1" pivotButton="0" quotePrefix="0" xfId="2">
      <alignment vertical="top"/>
    </xf>
    <xf numFmtId="165" fontId="62" fillId="0" borderId="0" applyAlignment="1" pivotButton="0" quotePrefix="0" xfId="3">
      <alignment horizontal="right" vertical="center"/>
    </xf>
    <xf numFmtId="165" fontId="63" fillId="0" borderId="0" applyAlignment="1" pivotButton="0" quotePrefix="0" xfId="3">
      <alignment horizontal="right" vertical="center"/>
    </xf>
    <xf numFmtId="165" fontId="64" fillId="0" borderId="0" applyAlignment="1" pivotButton="0" quotePrefix="0" xfId="3">
      <alignment horizontal="right" vertical="center"/>
    </xf>
    <xf numFmtId="165" fontId="65" fillId="0" borderId="0" applyAlignment="1" pivotButton="0" quotePrefix="0" xfId="3">
      <alignment horizontal="right" vertical="center"/>
    </xf>
    <xf numFmtId="0" fontId="26" fillId="11" borderId="0" applyAlignment="1" pivotButton="0" quotePrefix="0" xfId="3">
      <alignment horizontal="left" vertical="center"/>
    </xf>
    <xf numFmtId="3" fontId="66" fillId="11" borderId="0" applyAlignment="1" pivotButton="0" quotePrefix="0" xfId="3">
      <alignment horizontal="right" vertical="center"/>
    </xf>
    <xf numFmtId="3" fontId="67" fillId="11" borderId="0" applyAlignment="1" pivotButton="0" quotePrefix="0" xfId="3">
      <alignment horizontal="right" vertical="center"/>
    </xf>
    <xf numFmtId="3" fontId="68" fillId="11" borderId="0" applyAlignment="1" pivotButton="0" quotePrefix="0" xfId="3">
      <alignment horizontal="right" vertical="center"/>
    </xf>
    <xf numFmtId="0" fontId="69" fillId="21" borderId="0" applyAlignment="1" pivotButton="0" quotePrefix="0" xfId="3">
      <alignment wrapText="1"/>
    </xf>
    <xf numFmtId="0" fontId="2" fillId="0" borderId="0" applyAlignment="1" pivotButton="0" quotePrefix="0" xfId="3">
      <alignment wrapText="1"/>
    </xf>
    <xf numFmtId="0" fontId="10" fillId="6" borderId="0" applyAlignment="1" pivotButton="0" quotePrefix="0" xfId="3">
      <alignment horizontal="left" vertical="center" wrapText="1"/>
    </xf>
    <xf numFmtId="3" fontId="2" fillId="0" borderId="0" applyAlignment="1" pivotButton="0" quotePrefix="0" xfId="3">
      <alignment vertical="top"/>
    </xf>
    <xf numFmtId="0" fontId="37" fillId="8" borderId="0" pivotButton="0" quotePrefix="0" xfId="0"/>
    <xf numFmtId="0" fontId="38" fillId="5" borderId="0" applyAlignment="1" pivotButton="0" quotePrefix="0" xfId="0">
      <alignment horizontal="left" vertical="center"/>
    </xf>
    <xf numFmtId="0" fontId="39" fillId="5" borderId="0" applyAlignment="1" pivotButton="0" quotePrefix="0" xfId="0">
      <alignment horizontal="left" vertical="center" wrapText="1"/>
    </xf>
    <xf numFmtId="0" fontId="40" fillId="5" borderId="0" applyAlignment="1" pivotButton="0" quotePrefix="0" xfId="0">
      <alignment horizontal="left" vertical="center" wrapText="1"/>
    </xf>
    <xf numFmtId="0" fontId="38" fillId="10" borderId="0" applyAlignment="1" pivotButton="0" quotePrefix="0" xfId="0">
      <alignment horizontal="left" vertical="center"/>
    </xf>
    <xf numFmtId="0" fontId="39" fillId="10" borderId="0" applyAlignment="1" pivotButton="0" quotePrefix="0" xfId="0">
      <alignment horizontal="left" vertical="center" wrapText="1"/>
    </xf>
    <xf numFmtId="0" fontId="40" fillId="10" borderId="0" applyAlignment="1" pivotButton="0" quotePrefix="0" xfId="0">
      <alignment horizontal="left" vertical="center" wrapText="1"/>
    </xf>
    <xf numFmtId="0" fontId="59" fillId="7" borderId="0" applyAlignment="1" pivotButton="0" quotePrefix="0" xfId="3">
      <alignment horizontal="left" vertical="center" wrapText="1"/>
    </xf>
    <xf numFmtId="0" fontId="2" fillId="0" borderId="0" applyAlignment="1" pivotButton="0" quotePrefix="0" xfId="3">
      <alignment horizontal="left" wrapText="1"/>
    </xf>
    <xf numFmtId="0" fontId="70" fillId="0" borderId="0" applyAlignment="1" pivotButton="0" quotePrefix="0" xfId="3">
      <alignment horizontal="left" vertical="center"/>
    </xf>
    <xf numFmtId="165" fontId="71" fillId="0" borderId="0" applyAlignment="1" pivotButton="0" quotePrefix="0" xfId="3">
      <alignment horizontal="right" vertical="center"/>
    </xf>
    <xf numFmtId="0" fontId="28" fillId="0" borderId="0" applyAlignment="1" pivotButton="0" quotePrefix="0" xfId="3">
      <alignment horizontal="left" vertical="center" indent="1"/>
    </xf>
    <xf numFmtId="165" fontId="24" fillId="0" borderId="0" applyAlignment="1" pivotButton="0" quotePrefix="0" xfId="3">
      <alignment horizontal="right" vertical="center"/>
    </xf>
    <xf numFmtId="165" fontId="72" fillId="0" borderId="0" applyAlignment="1" pivotButton="0" quotePrefix="0" xfId="3">
      <alignment horizontal="right" vertical="center"/>
    </xf>
    <xf numFmtId="0" fontId="26" fillId="9" borderId="0" applyAlignment="1" pivotButton="0" quotePrefix="0" xfId="3">
      <alignment horizontal="left" vertical="center"/>
    </xf>
    <xf numFmtId="0" fontId="26" fillId="5" borderId="0" applyAlignment="1" pivotButton="0" quotePrefix="0" xfId="3">
      <alignment horizontal="left" vertical="center"/>
    </xf>
    <xf numFmtId="0" fontId="73" fillId="5" borderId="0" applyAlignment="1" pivotButton="0" quotePrefix="0" xfId="3">
      <alignment horizontal="left" vertical="center" indent="1"/>
    </xf>
    <xf numFmtId="9" fontId="73" fillId="5" borderId="0" applyAlignment="1" pivotButton="0" quotePrefix="0" xfId="3">
      <alignment horizontal="left" vertical="center" indent="1"/>
    </xf>
    <xf numFmtId="0" fontId="19" fillId="6" borderId="0" applyAlignment="1" pivotButton="0" quotePrefix="0" xfId="3">
      <alignment horizontal="center" vertical="center"/>
    </xf>
    <xf numFmtId="0" fontId="2" fillId="0" borderId="0" applyAlignment="1" pivotButton="0" quotePrefix="0" xfId="3">
      <alignment wrapText="1"/>
    </xf>
    <xf numFmtId="0" fontId="23" fillId="0" borderId="0" applyAlignment="1" pivotButton="0" quotePrefix="0" xfId="3">
      <alignment horizontal="left" vertical="center" wrapText="1"/>
    </xf>
    <xf numFmtId="0" fontId="26" fillId="17" borderId="0" applyAlignment="1" pivotButton="0" quotePrefix="0" xfId="3">
      <alignment horizontal="left" vertical="center" wrapText="1"/>
    </xf>
    <xf numFmtId="0" fontId="10" fillId="22" borderId="0" applyAlignment="1" pivotButton="0" quotePrefix="0" xfId="3">
      <alignment horizontal="left" vertical="center"/>
    </xf>
    <xf numFmtId="0" fontId="2" fillId="0" borderId="0" applyAlignment="1" pivotButton="0" quotePrefix="0" xfId="3">
      <alignment horizontal="right" vertical="center"/>
    </xf>
    <xf numFmtId="0" fontId="60" fillId="16" borderId="0" applyAlignment="1" pivotButton="0" quotePrefix="0" xfId="3">
      <alignment horizontal="left" vertical="center" wrapText="1"/>
    </xf>
    <xf numFmtId="3" fontId="74" fillId="6" borderId="0" applyAlignment="1" pivotButton="0" quotePrefix="0" xfId="3">
      <alignment horizontal="right" vertical="center"/>
    </xf>
    <xf numFmtId="3" fontId="75" fillId="6" borderId="0" applyAlignment="1" pivotButton="0" quotePrefix="0" xfId="3">
      <alignment horizontal="right" vertical="center"/>
    </xf>
    <xf numFmtId="0" fontId="26" fillId="10" borderId="0" applyAlignment="1" pivotButton="0" quotePrefix="0" xfId="3">
      <alignment horizontal="left" vertical="center" wrapText="1"/>
    </xf>
    <xf numFmtId="0" fontId="35" fillId="10" borderId="0" applyAlignment="1" pivotButton="0" quotePrefix="0" xfId="3">
      <alignment horizontal="left" vertical="center" indent="1"/>
    </xf>
    <xf numFmtId="0" fontId="69" fillId="10" borderId="0" applyAlignment="1" pivotButton="0" quotePrefix="0" xfId="3">
      <alignment horizontal="left" vertical="center" indent="1"/>
    </xf>
    <xf numFmtId="0" fontId="26" fillId="5" borderId="0" applyAlignment="1" pivotButton="0" quotePrefix="0" xfId="3">
      <alignment horizontal="left" vertical="center" wrapText="1"/>
    </xf>
    <xf numFmtId="0" fontId="35" fillId="5" borderId="0" applyAlignment="1" pivotButton="0" quotePrefix="0" xfId="3">
      <alignment horizontal="left" vertical="center" indent="1"/>
    </xf>
    <xf numFmtId="0" fontId="69" fillId="5" borderId="0" applyAlignment="1" pivotButton="0" quotePrefix="0" xfId="3">
      <alignment horizontal="left" vertical="center" indent="1"/>
    </xf>
    <xf numFmtId="0" fontId="69" fillId="23" borderId="0" applyAlignment="1" pivotButton="0" quotePrefix="0" xfId="3">
      <alignment wrapText="1"/>
    </xf>
    <xf numFmtId="0" fontId="11" fillId="0" borderId="0" pivotButton="0" quotePrefix="0" xfId="3"/>
    <xf numFmtId="0" fontId="19" fillId="6" borderId="0" applyAlignment="1" pivotButton="0" quotePrefix="0" xfId="3">
      <alignment horizontal="left" vertical="center"/>
    </xf>
    <xf numFmtId="0" fontId="2" fillId="0" borderId="0" applyAlignment="1" pivotButton="0" quotePrefix="0" xfId="3">
      <alignment horizontal="left"/>
    </xf>
    <xf numFmtId="0" fontId="20" fillId="7" borderId="0" applyAlignment="1" pivotButton="0" quotePrefix="0" xfId="3">
      <alignment horizontal="left" vertical="center"/>
    </xf>
    <xf numFmtId="0" fontId="20" fillId="7" borderId="0" applyAlignment="1" pivotButton="0" quotePrefix="0" xfId="3">
      <alignment horizontal="left" vertical="center" wrapText="1"/>
    </xf>
    <xf numFmtId="0" fontId="23" fillId="0" borderId="0" applyAlignment="1" pivotButton="0" quotePrefix="0" xfId="3">
      <alignment horizontal="left" vertical="top" wrapText="1"/>
    </xf>
    <xf numFmtId="3" fontId="11" fillId="0" borderId="0" applyAlignment="1" pivotButton="0" quotePrefix="0" xfId="2">
      <alignment vertical="top"/>
    </xf>
    <xf numFmtId="0" fontId="11" fillId="0" borderId="0" applyAlignment="1" pivotButton="0" quotePrefix="0" xfId="3">
      <alignment vertical="top"/>
    </xf>
    <xf numFmtId="3" fontId="11" fillId="0" borderId="0" applyAlignment="1" pivotButton="0" quotePrefix="0" xfId="3">
      <alignment vertical="top"/>
    </xf>
    <xf numFmtId="37" fontId="23" fillId="0" borderId="0" applyAlignment="1" pivotButton="0" quotePrefix="0" xfId="3">
      <alignment horizontal="right" vertical="center"/>
    </xf>
    <xf numFmtId="0" fontId="21" fillId="0" borderId="0" applyAlignment="1" pivotButton="0" quotePrefix="0" xfId="3">
      <alignment horizontal="left" vertical="top"/>
    </xf>
    <xf numFmtId="0" fontId="76" fillId="0" borderId="0" applyAlignment="1" pivotButton="0" quotePrefix="0" xfId="0">
      <alignment horizontal="left" vertical="center" wrapText="1"/>
    </xf>
    <xf numFmtId="164" fontId="76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77" fillId="0" borderId="0" pivotButton="0" quotePrefix="0" xfId="0"/>
    <xf numFmtId="0" fontId="12" fillId="0" borderId="1" pivotButton="0" quotePrefix="0" xfId="0"/>
    <xf numFmtId="0" fontId="12" fillId="0" borderId="1" applyAlignment="1" pivotButton="0" quotePrefix="0" xfId="0">
      <alignment horizontal="right" vertical="center"/>
    </xf>
    <xf numFmtId="3" fontId="12" fillId="0" borderId="1" applyAlignment="1" pivotButton="0" quotePrefix="0" xfId="0">
      <alignment horizontal="right" vertical="center"/>
    </xf>
    <xf numFmtId="165" fontId="12" fillId="0" borderId="1" applyAlignment="1" pivotButton="0" quotePrefix="0" xfId="0">
      <alignment horizontal="right" vertical="center"/>
    </xf>
    <xf numFmtId="0" fontId="0" fillId="0" borderId="6" pivotButton="0" quotePrefix="0" xfId="0"/>
    <xf numFmtId="0" fontId="78" fillId="0" borderId="0" applyAlignment="1" pivotButton="0" quotePrefix="0" xfId="0">
      <alignment horizontal="left" vertical="center"/>
    </xf>
    <xf numFmtId="0" fontId="79" fillId="0" borderId="0" applyAlignment="1" pivotButton="0" quotePrefix="0" xfId="0">
      <alignment horizontal="left" vertical="center" wrapText="1"/>
    </xf>
    <xf numFmtId="0" fontId="80" fillId="0" borderId="0" applyAlignment="1" pivotButton="0" quotePrefix="0" xfId="0">
      <alignment horizontal="left" vertical="center"/>
    </xf>
    <xf numFmtId="0" fontId="81" fillId="26" borderId="11" applyAlignment="1" pivotButton="0" quotePrefix="0" xfId="0">
      <alignment horizontal="left" vertical="center"/>
    </xf>
    <xf numFmtId="0" fontId="81" fillId="26" borderId="11" applyAlignment="1" pivotButton="0" quotePrefix="0" xfId="0">
      <alignment horizontal="center" vertical="center"/>
    </xf>
    <xf numFmtId="0" fontId="82" fillId="26" borderId="11" applyAlignment="1" pivotButton="0" quotePrefix="0" xfId="0">
      <alignment horizontal="left" vertical="center"/>
    </xf>
    <xf numFmtId="0" fontId="83" fillId="0" borderId="11" applyAlignment="1" pivotButton="0" quotePrefix="0" xfId="0">
      <alignment horizontal="left" vertical="center"/>
    </xf>
    <xf numFmtId="167" fontId="83" fillId="0" borderId="11" applyAlignment="1" pivotButton="0" quotePrefix="0" xfId="0">
      <alignment horizontal="right" vertical="center"/>
    </xf>
    <xf numFmtId="0" fontId="83" fillId="0" borderId="11" applyAlignment="1" pivotButton="0" quotePrefix="0" xfId="0">
      <alignment horizontal="left" vertical="center" wrapText="1"/>
    </xf>
    <xf numFmtId="0" fontId="84" fillId="27" borderId="11" applyAlignment="1" pivotButton="0" quotePrefix="0" xfId="0">
      <alignment horizontal="left" vertical="center"/>
    </xf>
    <xf numFmtId="167" fontId="84" fillId="27" borderId="11" applyAlignment="1" pivotButton="0" quotePrefix="0" xfId="0">
      <alignment horizontal="right" vertical="center"/>
    </xf>
    <xf numFmtId="0" fontId="82" fillId="27" borderId="11" applyAlignment="1" pivotButton="0" quotePrefix="0" xfId="0">
      <alignment horizontal="left" vertical="center"/>
    </xf>
    <xf numFmtId="0" fontId="85" fillId="0" borderId="11" applyAlignment="1" pivotButton="0" quotePrefix="0" xfId="0">
      <alignment horizontal="left" vertical="center"/>
    </xf>
    <xf numFmtId="0" fontId="86" fillId="0" borderId="11" applyAlignment="1" pivotButton="0" quotePrefix="0" xfId="0">
      <alignment horizontal="left" vertical="center"/>
    </xf>
    <xf numFmtId="165" fontId="87" fillId="0" borderId="11" applyAlignment="1" pivotButton="0" quotePrefix="0" xfId="0">
      <alignment horizontal="right" vertical="center"/>
    </xf>
    <xf numFmtId="166" fontId="87" fillId="0" borderId="11" applyAlignment="1" pivotButton="0" quotePrefix="0" xfId="0">
      <alignment horizontal="right" vertical="center"/>
    </xf>
  </cellXfs>
  <cellStyles count="4">
    <cellStyle name="Normal" xfId="0" builtinId="0"/>
    <cellStyle name="Normal 2" xfId="1"/>
    <cellStyle name="Normal 3" xfId="2"/>
    <cellStyle name="Normal 3 2" xf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Group revenue by division (USD)</a:t>
            </a:r>
          </a:p>
        </rich>
      </tx>
      <overlay val="1"/>
    </title>
    <plotArea>
      <layout/>
      <barChart>
        <barDir val="col"/>
        <grouping val="stacked"/>
        <varyColors val="1"/>
        <ser>
          <idx val="0"/>
          <order val="0"/>
          <tx>
            <v>Vestwoods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Dashboard!$B$21:$F$21</f>
              <strCache>
                <ptCount val="5"/>
                <pt idx="0">
                  <v>Y1</v>
                </pt>
                <pt idx="1">
                  <v>Y2</v>
                </pt>
                <pt idx="2">
                  <v>Y3</v>
                </pt>
                <pt idx="3">
                  <v>Y4</v>
                </pt>
                <pt idx="4">
                  <v>Y5</v>
                </pt>
              </strCache>
            </strRef>
          </cat>
          <val>
            <numRef>
              <f>Dashboard!$B$22:$F$22</f>
              <numCache>
                <formatCode>#,##0</formatCode>
                <ptCount val="5"/>
                <pt idx="0">
                  <v>5356860</v>
                </pt>
                <pt idx="1">
                  <v>8153433</v>
                </pt>
                <pt idx="2">
                  <v>10595523</v>
                </pt>
                <pt idx="3">
                  <v>13037613</v>
                </pt>
                <pt idx="4">
                  <v>16740147</v>
                </pt>
              </numCache>
            </numRef>
          </val>
        </ser>
        <ser>
          <idx val="1"/>
          <order val="1"/>
          <tx>
            <v>Al Reem Plastics</v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Dashboard!$B$21:$F$21</f>
              <strCache>
                <ptCount val="5"/>
                <pt idx="0">
                  <v>Y1</v>
                </pt>
                <pt idx="1">
                  <v>Y2</v>
                </pt>
                <pt idx="2">
                  <v>Y3</v>
                </pt>
                <pt idx="3">
                  <v>Y4</v>
                </pt>
                <pt idx="4">
                  <v>Y5</v>
                </pt>
              </strCache>
            </strRef>
          </cat>
          <val>
            <numRef>
              <f>Dashboard!$B$23:$F$23</f>
              <numCache>
                <formatCode>#,##0</formatCode>
                <ptCount val="5"/>
                <pt idx="0">
                  <v>1165666</v>
                </pt>
                <pt idx="1">
                  <v>1547157</v>
                </pt>
                <pt idx="2">
                  <v>1933946</v>
                </pt>
                <pt idx="3">
                  <v>2320735</v>
                </pt>
                <pt idx="4">
                  <v>2702226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majorGridlines/>
        <numFmt formatCode="#,##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Net profit (USD)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v>Net profit</v>
          </tx>
          <spPr>
            <a:ln xmlns:a="http://schemas.openxmlformats.org/drawingml/2006/main" w="28000">
              <a:solidFill>
                <a:srgbClr val="C8892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Dashboard!$B$21:$F$21</f>
              <strCache>
                <ptCount val="5"/>
                <pt idx="0">
                  <v>Y1</v>
                </pt>
                <pt idx="1">
                  <v>Y2</v>
                </pt>
                <pt idx="2">
                  <v>Y3</v>
                </pt>
                <pt idx="3">
                  <v>Y4</v>
                </pt>
                <pt idx="4">
                  <v>Y5</v>
                </pt>
              </strCache>
            </strRef>
          </cat>
          <val>
            <numRef>
              <f>Dashboard!$B$24:$F$24</f>
              <numCache>
                <formatCode>#,##0</formatCode>
                <ptCount val="5"/>
                <pt idx="0">
                  <v>288656</v>
                </pt>
                <pt idx="1">
                  <v>521577</v>
                </pt>
                <pt idx="2">
                  <v>689185</v>
                </pt>
                <pt idx="3">
                  <v>810324</v>
                </pt>
                <pt idx="4">
                  <v>962211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majorGridlines/>
        <numFmt formatCode="#,##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20</row>
      <rowOff>0</rowOff>
    </from>
    <ext cx="54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:B1"/>
    </sheetView>
  </sheetViews>
  <sheetFormatPr baseColWidth="8" defaultRowHeight="13.8"/>
  <cols>
    <col width="26" customWidth="1" style="6" min="1" max="1"/>
    <col width="100" customWidth="1" style="6" min="2" max="2"/>
    <col width="8.88671875" customWidth="1" style="6" min="3" max="16384"/>
  </cols>
  <sheetData>
    <row r="1" ht="17.4" customHeight="1" s="1">
      <c r="A1" s="4" t="inlineStr">
        <is>
          <t xml:space="preserve">NORCO — Group Investor Model </t>
        </is>
      </c>
    </row>
    <row r="2">
      <c r="A2" s="7" t="inlineStr">
        <is>
          <t>Vestwoods (Haier Energy) + Al Reem Plastics (Angola) | Investment into NORCO Egypt | Aug 2026 – Jul 2031</t>
        </is>
      </c>
    </row>
    <row r="3"/>
    <row r="4" ht="34.05" customHeight="1" s="1">
      <c r="A4" s="8" t="inlineStr">
        <is>
          <t>Purpose</t>
        </is>
      </c>
      <c r="B4" s="9" t="inlineStr">
        <is>
          <t>Investor-grade 5-year model for NORCO's two-division distribution platform. The investor invests USD 1,500,000 into the EGYPT operating company for 50% of its shares.</t>
        </is>
      </c>
    </row>
    <row r="5" ht="34.05" customHeight="1" s="1">
      <c r="A5" s="8" t="inlineStr">
        <is>
          <t>Divisions &amp; markets</t>
        </is>
      </c>
      <c r="B5" s="9" t="inlineStr">
        <is>
          <t>Vestwoods lithium BESS: Egypt, Sudan, Algeria, Libya. Al Reem Plastics houseware (sourced from the group's Angola plant): Egypt and Sudan from Year 1, Nigeria from Year 2.</t>
        </is>
      </c>
    </row>
    <row r="6" ht="34.05" customHeight="1" s="1">
      <c r="A6" s="8" t="inlineStr">
        <is>
          <t>Vestwoods economics</t>
        </is>
      </c>
      <c r="B6" s="9" t="inlineStr">
        <is>
          <t>40ft container of 340 units. COGS = 72% of revenue at retail, 87% at wholesale (verified pricing list). Egypt sells 50% retail / 50% wholesale; all export markets wholesale-only.</t>
        </is>
      </c>
    </row>
    <row r="7" ht="34.05" customHeight="1" s="1">
      <c r="A7" s="8" t="inlineStr">
        <is>
          <t>Al Reem economics</t>
        </is>
      </c>
      <c r="B7" s="9" t="inlineStr">
        <is>
          <t>40ft container of 20,488 units / 69 SKUs (July-2026 packing list), landed cost USD 59,343. NORCO buys 30% below price list: margin = 30% of retail revenue, 20% of wholesale revenue. Egypt 50/50 retail-wholesale; Sudan wholesale-only.</t>
        </is>
      </c>
    </row>
    <row r="8" ht="34.05" customHeight="1" s="1">
      <c r="A8" s="8" t="inlineStr">
        <is>
          <t>Container plan</t>
        </is>
      </c>
      <c r="B8" s="9" t="inlineStr">
        <is>
          <t>Vestwoods — Egypt 6/7/9/11/15, Sudan 4/5/6/8/10, Algeria 3/4/6/7/8, Libya 0/4/5/6/8. Al Reem — Egypt 10/12/15/18/20, Sudan 5/8/10/12/15 (Y1..Y5).</t>
        </is>
      </c>
    </row>
    <row r="9" ht="34.05" customHeight="1" s="1">
      <c r="A9" s="8" t="inlineStr">
        <is>
          <t>Investment ask</t>
        </is>
      </c>
      <c r="B9" s="9" t="inlineStr">
        <is>
          <t>USD 1,000,000 core for 50% of NORCO Egypt — Tranche 1 USD 500K at close (Aug-26), Tranche 2 USD 500K at Month 4 (milestone-gated) — plus an optional USD 500K accelerator (ceiling USD 1.5M).</t>
        </is>
      </c>
    </row>
    <row r="10" ht="34.05" customHeight="1" s="1">
      <c r="A10" s="8" t="inlineStr">
        <is>
          <t>Shareholding</t>
        </is>
      </c>
      <c r="B10" s="9" t="inlineStr">
        <is>
          <t>NORCO Egypt: Investor 50% | NORCO UAE 20% | Founder 20% | Partner A 5% | Partner B 5%. Founder-side combined interest 40% (20% direct + 20% via NORCO UAE).</t>
        </is>
      </c>
    </row>
    <row r="11" ht="34.05" customHeight="1" s="1">
      <c r="A11" s="8" t="inlineStr">
        <is>
          <t>Currency &amp; FX</t>
        </is>
      </c>
      <c r="B11" s="9" t="inlineStr">
        <is>
          <t>USD throughout. Planning rate USD 1 = EGP 53. Corporate tax 22.5% on net profit; Year-1 tax computed with loss carry-forward.</t>
        </is>
      </c>
    </row>
    <row r="12" ht="34.05" customHeight="1" s="1">
      <c r="A12" s="8" t="inlineStr">
        <is>
          <t>Supplier terms</t>
        </is>
      </c>
      <c r="B12" s="9" t="inlineStr">
        <is>
          <t>Vestwoods Year 1: 100% payment before shipment; from Month 13: 10% down + 90% at 3-month credit. Al Reem (affiliate): paid against shipping documents.</t>
        </is>
      </c>
    </row>
    <row r="13" ht="34.05" customHeight="1" s="1">
      <c r="A13" s="8" t="inlineStr">
        <is>
          <t>Sheets</t>
        </is>
      </c>
      <c r="B13" s="9" t="inlineStr">
        <is>
          <t>Key Assumptions | Pre-Op Investment | Pricing Reference | Staff Plan | Monthly P&amp;L Year 1 | Annual P&amp;L Summary Y1-Y5 | Cash Flow Year 1 | 5Y Cash Flow | Market Detail | Funding &amp; Returns | Shareholding | Dashboard</t>
        </is>
      </c>
    </row>
    <row r="14" ht="34.05" customHeight="1" s="1">
      <c r="A14" s="8" t="inlineStr">
        <is>
          <t>Version</t>
        </is>
      </c>
      <c r="B14" s="9" t="inlineStr">
        <is>
          <t>V5 (Group) — 14 July 2026. Strictly Private &amp; Confidential. Prepared by Fadi Jannan, Managing Director.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showGridLines="0" topLeftCell="A32" zoomScale="115" zoomScaleNormal="115" workbookViewId="0">
      <selection activeCell="B6" sqref="B6"/>
    </sheetView>
  </sheetViews>
  <sheetFormatPr baseColWidth="8" defaultRowHeight="14.4"/>
  <cols>
    <col width="38.33203125" customWidth="1" style="71" min="1" max="1"/>
    <col width="42.21875" customWidth="1" style="75" min="2" max="2"/>
    <col width="61.21875" customWidth="1" style="75" min="3" max="3"/>
    <col width="8.88671875" customWidth="1" style="71" min="4" max="16384"/>
  </cols>
  <sheetData>
    <row r="1" ht="25.95" customHeight="1" s="1">
      <c r="A1" s="74" t="inlineStr">
        <is>
          <t>Key Assumptions &amp; Financial Model Notes</t>
        </is>
      </c>
    </row>
    <row r="2"/>
    <row r="3" ht="22.05" customHeight="1" s="1">
      <c r="A3" s="122" t="inlineStr">
        <is>
          <t>Parameter</t>
        </is>
      </c>
      <c r="B3" s="72" t="inlineStr">
        <is>
          <t>Value / Assumption</t>
        </is>
      </c>
      <c r="C3" s="72" t="inlineStr">
        <is>
          <t>Notes</t>
        </is>
      </c>
    </row>
    <row r="4" ht="22.05" customHeight="1" s="1">
      <c r="A4" s="122" t="inlineStr">
        <is>
          <t>► GENERAL</t>
        </is>
      </c>
      <c r="B4" s="72" t="n"/>
      <c r="C4" s="72" t="n"/>
    </row>
    <row r="5">
      <c r="A5" s="73" t="inlineStr">
        <is>
          <t>Business start</t>
        </is>
      </c>
      <c r="B5" s="120" t="inlineStr">
        <is>
          <t>August 2026</t>
        </is>
      </c>
      <c r="C5" s="121" t="inlineStr">
        <is>
          <t>Month 1 = Aug-26; fiscal years run Aug–Jul</t>
        </is>
      </c>
    </row>
    <row r="6">
      <c r="A6" s="117" t="inlineStr">
        <is>
          <t>Scope</t>
        </is>
      </c>
      <c r="B6" s="118" t="inlineStr">
        <is>
          <t>Two divisions on one platform</t>
        </is>
      </c>
      <c r="C6" s="119" t="inlineStr">
        <is>
          <t>Vestwoods (Haier Energy) BESS + Al Reem Plastics houseware</t>
        </is>
      </c>
    </row>
    <row r="7">
      <c r="A7" s="73" t="inlineStr">
        <is>
          <t>Investment vehicle</t>
        </is>
      </c>
      <c r="B7" s="120" t="inlineStr">
        <is>
          <t>USD 1,000,000 core for 50% of NORCO Egypt</t>
        </is>
      </c>
      <c r="C7" s="121" t="inlineStr">
        <is>
          <t>T1 500K + T2 500K; optional 500K accelerator (ceiling 1.5M)</t>
        </is>
      </c>
    </row>
    <row r="8">
      <c r="A8" s="117" t="inlineStr">
        <is>
          <t>FX planning rate</t>
        </is>
      </c>
      <c r="B8" s="118" t="inlineStr">
        <is>
          <t>USD 1 = EGP 53</t>
        </is>
      </c>
      <c r="C8" s="119" t="inlineStr">
        <is>
          <t>Conservative vs spot ~49–51</t>
        </is>
      </c>
    </row>
    <row r="9">
      <c r="A9" s="73" t="inlineStr">
        <is>
          <t>Corporate tax</t>
        </is>
      </c>
      <c r="B9" s="120" t="inlineStr">
        <is>
          <t>22.5% on net profit</t>
        </is>
      </c>
      <c r="C9" s="121" t="inlineStr">
        <is>
          <t>Loss carry-forward applied in Year 1</t>
        </is>
      </c>
    </row>
    <row r="10" ht="22.05" customHeight="1" s="1">
      <c r="A10" s="122" t="inlineStr">
        <is>
          <t>► VESTWOODS</t>
        </is>
      </c>
      <c r="B10" s="72" t="n"/>
      <c r="C10" s="72" t="n"/>
    </row>
    <row r="11" ht="18" customHeight="1" s="1">
      <c r="A11" s="122" t="inlineStr">
        <is>
          <t>Markets</t>
        </is>
      </c>
    </row>
    <row r="12">
      <c r="A12" s="117" t="inlineStr">
        <is>
          <t>Container</t>
        </is>
      </c>
      <c r="B12" s="118" t="inlineStr">
        <is>
          <t>340 units / 40ft, COGS USD 342,316</t>
        </is>
      </c>
      <c r="C12" s="119" t="inlineStr">
        <is>
          <t>Supplier prepay USD 239,805 + local import costs USD 102,511</t>
        </is>
      </c>
    </row>
    <row r="13">
      <c r="A13" s="73" t="inlineStr">
        <is>
          <t>COGS — retail</t>
        </is>
      </c>
      <c r="B13" s="120" t="inlineStr">
        <is>
          <t>72% of revenue</t>
        </is>
      </c>
      <c r="C13" s="121" t="inlineStr">
        <is>
          <t>Container retail value USD 472,680</t>
        </is>
      </c>
    </row>
    <row r="14">
      <c r="A14" s="117" t="inlineStr">
        <is>
          <t>COGS — wholesale</t>
        </is>
      </c>
      <c r="B14" s="118" t="inlineStr">
        <is>
          <t>87% of revenue</t>
        </is>
      </c>
      <c r="C14" s="119" t="inlineStr">
        <is>
          <t>Container wholesale value USD 393,882</t>
        </is>
      </c>
    </row>
    <row r="15">
      <c r="A15" s="73" t="inlineStr">
        <is>
          <t>Egypt mix</t>
        </is>
      </c>
      <c r="B15" s="120" t="inlineStr">
        <is>
          <t>50% retail / 50% wholesale</t>
        </is>
      </c>
      <c r="C15" s="121" t="inlineStr">
        <is>
          <t>Blended Egypt revenue USD 433,281/container (21.0% GM)</t>
        </is>
      </c>
    </row>
    <row r="16" ht="18" customHeight="1" s="1">
      <c r="A16" s="122" t="inlineStr">
        <is>
          <t>Container plan Y1→Y5</t>
        </is>
      </c>
    </row>
    <row r="17">
      <c r="A17" s="73" t="inlineStr">
        <is>
          <t>Supplier terms Y1</t>
        </is>
      </c>
      <c r="B17" s="120" t="inlineStr">
        <is>
          <t>100% payment before shipment</t>
        </is>
      </c>
      <c r="C17" s="121" t="inlineStr">
        <is>
          <t>Drives the working-capital need and the raise</t>
        </is>
      </c>
    </row>
    <row r="18">
      <c r="A18" s="117" t="inlineStr">
        <is>
          <t>Supplier terms Y2+</t>
        </is>
      </c>
      <c r="B18" s="118" t="inlineStr">
        <is>
          <t>10% down + 90% at 3-month credit</t>
        </is>
      </c>
      <c r="C18" s="119" t="inlineStr">
        <is>
          <t>From Month 13 — releases ~90% of container capital</t>
        </is>
      </c>
    </row>
    <row r="19" ht="22.05" customHeight="1" s="1">
      <c r="A19" s="122" t="inlineStr">
        <is>
          <t>► AL REEM PLASTICS (ANGOLA)</t>
        </is>
      </c>
      <c r="B19" s="72" t="n"/>
      <c r="C19" s="72" t="n"/>
    </row>
    <row r="20">
      <c r="A20" s="117" t="inlineStr">
        <is>
          <t>Markets</t>
        </is>
      </c>
      <c r="B20" s="118" t="inlineStr">
        <is>
          <t>Egypt and Sudan</t>
        </is>
      </c>
      <c r="C20" s="119" t="inlineStr">
        <is>
          <t>Export corridors expand later</t>
        </is>
      </c>
    </row>
    <row r="21">
      <c r="A21" s="73" t="inlineStr">
        <is>
          <t>Sourcing</t>
        </is>
      </c>
      <c r="B21" s="120" t="inlineStr">
        <is>
          <t>Affiliated plant in Angola — 30% below price list</t>
        </is>
      </c>
      <c r="C21" s="121" t="inlineStr">
        <is>
          <t>Margin ≈ 25% of Egypt revenue (blended retail/wholesale, COGS 75%); 17.4% on export wholesale (COGS 82.64%)</t>
        </is>
      </c>
    </row>
    <row r="22">
      <c r="A22" s="117" t="inlineStr">
        <is>
          <t>Container</t>
        </is>
      </c>
      <c r="B22" s="118" t="inlineStr">
        <is>
          <t>20,488 units / 69 SKUs, COGS USD 43,339</t>
        </is>
      </c>
      <c r="C22" s="119" t="inlineStr">
        <is>
          <t>Priced line-by-line from the July-2026 Egypt packing list</t>
        </is>
      </c>
    </row>
    <row r="23">
      <c r="A23" s="73" t="inlineStr">
        <is>
          <t>Egypt revenue / container</t>
        </is>
      </c>
      <c r="B23" s="120" t="inlineStr">
        <is>
          <t>USD 57,688 (50/50 retail-wholesale)</t>
        </is>
      </c>
      <c r="C23" s="121" t="inlineStr">
        <is>
          <t>GM 25.3% blended</t>
        </is>
      </c>
    </row>
    <row r="24">
      <c r="A24" s="117" t="inlineStr">
        <is>
          <t>Sudan revenue / container</t>
        </is>
      </c>
      <c r="B24" s="118" t="inlineStr">
        <is>
          <t>USD 52,444 (wholesale)</t>
        </is>
      </c>
      <c r="C24" s="119" t="inlineStr">
        <is>
          <t>GM 20.0%; 50% advance + 50% on delivery</t>
        </is>
      </c>
    </row>
    <row r="25">
      <c r="A25" s="73" t="inlineStr">
        <is>
          <t>Container plan Y1→Y5</t>
        </is>
      </c>
      <c r="B25" s="120" t="inlineStr">
        <is>
          <t>Egypt 10→40 | Sudan 5→30 | Nigeria 0→25</t>
        </is>
      </c>
      <c r="C25" s="121" t="inlineStr">
        <is>
          <t>95 containers by Year 5</t>
        </is>
      </c>
    </row>
    <row r="26">
      <c r="A26" s="117" t="inlineStr">
        <is>
          <t xml:space="preserve">Supplier terms </t>
        </is>
      </c>
      <c r="B26" s="118" t="inlineStr">
        <is>
          <t xml:space="preserve">100% credit </t>
        </is>
      </c>
      <c r="C26" s="119" t="n"/>
    </row>
    <row r="27" ht="22.05" customHeight="1" s="1">
      <c r="A27" s="122" t="inlineStr">
        <is>
          <t>► CUSTOMER TERMS</t>
        </is>
      </c>
      <c r="B27" s="72" t="n"/>
      <c r="C27" s="72" t="n"/>
    </row>
    <row r="28">
      <c r="A28" s="117" t="inlineStr">
        <is>
          <t>Egypt customers</t>
        </is>
      </c>
      <c r="B28" s="118" t="inlineStr">
        <is>
          <t>30–60 days (avg 45); 1-month collection lag</t>
        </is>
      </c>
      <c r="C28" s="119" t="inlineStr">
        <is>
          <t>Invoice on delivery</t>
        </is>
      </c>
    </row>
    <row r="29">
      <c r="A29" s="73" t="inlineStr">
        <is>
          <t>Sudan</t>
        </is>
      </c>
      <c r="B29" s="120" t="inlineStr">
        <is>
          <t>50% advance at order + 50% on delivery</t>
        </is>
      </c>
      <c r="C29" s="121" t="inlineStr">
        <is>
          <t>Cash before/at shipment</t>
        </is>
      </c>
    </row>
    <row r="30">
      <c r="A30" s="117" t="inlineStr">
        <is>
          <t>Algeria</t>
        </is>
      </c>
      <c r="B30" s="118" t="inlineStr">
        <is>
          <t>100% LC before shipment (FOB Jebel Ali)</t>
        </is>
      </c>
      <c r="C30" s="119" t="inlineStr">
        <is>
          <t>Licensed importer; zero in-country exposure</t>
        </is>
      </c>
    </row>
    <row r="31">
      <c r="A31" s="73" t="inlineStr">
        <is>
          <t>Libya</t>
        </is>
      </c>
      <c r="B31" s="120" t="inlineStr">
        <is>
          <t>Advance / confirmed LC</t>
        </is>
      </c>
      <c r="C31" s="121" t="inlineStr">
        <is>
          <t>From Year 2, dual-hub distributors</t>
        </is>
      </c>
    </row>
    <row r="32" ht="22.05" customHeight="1" s="1">
      <c r="A32" s="122" t="inlineStr">
        <is>
          <t>► FACILITIES &amp; STAFF</t>
        </is>
      </c>
      <c r="B32" s="72" t="n"/>
      <c r="C32" s="72" t="n"/>
    </row>
    <row r="33">
      <c r="A33" s="117" t="inlineStr">
        <is>
          <t>Showroom #1</t>
        </is>
      </c>
      <c r="B33" s="118" t="inlineStr">
        <is>
          <t>6th October City — OPERATIONAL</t>
        </is>
      </c>
      <c r="C33" s="119" t="inlineStr">
        <is>
          <t>EGP 10,000/mo = USD 200; renovated &amp; furnished</t>
        </is>
      </c>
    </row>
    <row r="34">
      <c r="A34" s="73" t="inlineStr">
        <is>
          <t>Showroom #2</t>
        </is>
      </c>
      <c r="B34" s="120" t="inlineStr">
        <is>
          <t>New Cairo ~100 sqm — opens Month 1</t>
        </is>
      </c>
      <c r="C34" s="121" t="inlineStr">
        <is>
          <t>USD 2,500/month (as modelled in the P&amp;L)</t>
        </is>
      </c>
    </row>
    <row r="35">
      <c r="A35" s="117" t="inlineStr">
        <is>
          <t>Office</t>
        </is>
      </c>
      <c r="B35" s="118" t="inlineStr">
        <is>
          <t>New Cairo, ~100 sqm furnished</t>
        </is>
      </c>
      <c r="C35" s="119" t="inlineStr">
        <is>
          <t>USD 3,000/month</t>
        </is>
      </c>
    </row>
    <row r="36">
      <c r="A36" s="73" t="inlineStr">
        <is>
          <t>Warehouse</t>
        </is>
      </c>
      <c r="B36" s="120" t="inlineStr">
        <is>
          <t>300–700 sqm — 6th Oct / Sheikh Zayed / New Cairo</t>
        </is>
      </c>
      <c r="C36" s="121" t="inlineStr">
        <is>
          <t>USD 3,000/month; located on best available cost</t>
        </is>
      </c>
    </row>
    <row r="37">
      <c r="A37" s="117" t="inlineStr">
        <is>
          <t>Sales compensation</t>
        </is>
      </c>
      <c r="B37" s="118" t="inlineStr">
        <is>
          <t>Salary + 4% (Vestwoods) / 3% (Al Reem) commission on Egypt sales</t>
        </is>
      </c>
      <c r="C37" s="119" t="inlineStr">
        <is>
          <t>Commission on both divisions' Egypt revenue</t>
        </is>
      </c>
    </row>
    <row r="38">
      <c r="A38" s="73" t="inlineStr">
        <is>
          <t>Headcount</t>
        </is>
      </c>
      <c r="B38" s="120" t="inlineStr">
        <is>
          <t>19 (M12) → 55 (Year 5)</t>
        </is>
      </c>
      <c r="C38" s="121" t="inlineStr">
        <is>
          <t>Full roster in Staff Plan sheet</t>
        </is>
      </c>
    </row>
    <row r="39" ht="18" customHeight="1" s="1">
      <c r="A39" s="222" t="inlineStr">
        <is>
          <t xml:space="preserve">  ► ADDITIONAL SETUP COSTS (YEAR 1)</t>
        </is>
      </c>
    </row>
    <row r="40" s="1">
      <c r="A40" s="223" t="inlineStr">
        <is>
          <t>Office Furniture &amp; IT</t>
        </is>
      </c>
      <c r="B40" s="224" t="inlineStr">
        <is>
          <t>USD 40,000 (capitalized)</t>
        </is>
      </c>
      <c r="C40" s="225" t="inlineStr">
        <is>
          <t>Desks, computers, server, phones</t>
        </is>
      </c>
    </row>
    <row r="41" s="1">
      <c r="A41" s="226" t="inlineStr">
        <is>
          <t>Warehouse Shelving &amp; Equipment</t>
        </is>
      </c>
      <c r="B41" s="227" t="inlineStr">
        <is>
          <t>USD 10,400 (capitalized)</t>
        </is>
      </c>
      <c r="C41" s="228" t="inlineStr">
        <is>
          <t>Racking, forklifts, safety equipment</t>
        </is>
      </c>
    </row>
    <row r="42" ht="16.2" customHeight="1" s="1">
      <c r="A42" s="223" t="inlineStr">
        <is>
          <t>Security Deposits (3 months)</t>
        </is>
      </c>
      <c r="B42" s="224" t="inlineStr">
        <is>
          <t>USD 14,667</t>
        </is>
      </c>
      <c r="C42" s="225" t="inlineStr">
        <is>
          <t>Showroom USD 567 + office USD 6,600 + warehouse USD 7,500 — refundable</t>
        </is>
      </c>
    </row>
    <row r="43" s="1">
      <c r="A43" s="226" t="inlineStr">
        <is>
          <t>GOEI Import Registration</t>
        </is>
      </c>
      <c r="B43" s="227" t="inlineStr">
        <is>
          <t>USD 3,000 (expensed Month 1–3)</t>
        </is>
      </c>
      <c r="C43" s="228" t="inlineStr">
        <is>
          <t>Required for product import compliance</t>
        </is>
      </c>
    </row>
    <row r="44" s="1">
      <c r="A44" s="223" t="inlineStr">
        <is>
          <t>Demo / Showroom Units</t>
        </is>
      </c>
      <c r="B44" s="224" t="inlineStr">
        <is>
          <t>USD 5,000 (expensed Month 1)</t>
        </is>
      </c>
      <c r="C44" s="225" t="inlineStr">
        <is>
          <t>Operational display inventory</t>
        </is>
      </c>
    </row>
    <row r="45" s="1">
      <c r="A45" s="226" t="inlineStr">
        <is>
          <t>Annual Amortisation on Setup</t>
        </is>
      </c>
      <c r="B45" s="227" t="inlineStr">
        <is>
          <t>USD 16,800/year (USD 1,400/month)</t>
        </is>
      </c>
      <c r="C45" s="228" t="inlineStr">
        <is>
          <t xml:space="preserve">50K fit-out / 3 years </t>
        </is>
      </c>
    </row>
    <row r="46" ht="18" customHeight="1" s="1">
      <c r="A46" s="122" t="inlineStr">
        <is>
          <t>► FUNDING</t>
        </is>
      </c>
    </row>
    <row r="47">
      <c r="A47" s="73" t="inlineStr">
        <is>
          <t>Investment</t>
        </is>
      </c>
      <c r="B47" s="120" t="inlineStr">
        <is>
          <t>USD 1,500,000 for 50% of NORCO Egypt</t>
        </is>
      </c>
      <c r="C47" s="121" t="inlineStr">
        <is>
          <t>Band USD 1.0M – 1.5M; two tranches</t>
        </is>
      </c>
    </row>
    <row r="48">
      <c r="A48" s="117" t="inlineStr">
        <is>
          <t>Peak funding need</t>
        </is>
      </c>
      <c r="B48" s="118" t="inlineStr">
        <is>
          <t>USD 903,954 (self-funded deficit, Jan-27)</t>
        </is>
      </c>
      <c r="C48" s="119" t="inlineStr">
        <is>
          <t>Covered by the 1.0M raise; minimum cash +USD 96,046</t>
        </is>
      </c>
    </row>
    <row r="49">
      <c r="A49" s="73" t="inlineStr">
        <is>
          <t>Dividend policy</t>
        </is>
      </c>
      <c r="B49" s="120" t="inlineStr">
        <is>
          <t>100% of net profit distributed, in arrears</t>
        </is>
      </c>
      <c r="C49" s="121" t="inlineStr">
        <is>
          <t>Investor receives 50% of each distribution</t>
        </is>
      </c>
    </row>
  </sheetData>
  <mergeCells count="5">
    <mergeCell ref="A11:C11"/>
    <mergeCell ref="A1:C1"/>
    <mergeCell ref="A46:C46"/>
    <mergeCell ref="A39:C39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9" sqref="A9"/>
    </sheetView>
  </sheetViews>
  <sheetFormatPr baseColWidth="8" defaultColWidth="8.6640625" defaultRowHeight="14.4"/>
  <cols>
    <col width="62" customWidth="1" style="1" min="1" max="1"/>
    <col width="14" customWidth="1" style="1" min="2" max="2"/>
    <col width="18" customWidth="1" style="1" min="3" max="3"/>
    <col width="12" customWidth="1" style="1" min="4" max="4"/>
    <col width="26" customWidth="1" style="1" min="5" max="5"/>
  </cols>
  <sheetData>
    <row r="1" ht="17.4" customHeight="1" s="1">
      <c r="A1" s="123" t="inlineStr">
        <is>
          <t>Pre-Operational Investment (Already Spent by Founder)</t>
        </is>
      </c>
    </row>
    <row r="2">
      <c r="A2" s="124" t="inlineStr">
        <is>
          <t>Incurred before the August 2026 launch — demonstrates founder commitment and operational readiness</t>
        </is>
      </c>
    </row>
    <row r="3">
      <c r="A3" s="125" t="inlineStr">
        <is>
          <t>Description</t>
        </is>
      </c>
      <c r="B3" s="125" t="inlineStr">
        <is>
          <t>Date</t>
        </is>
      </c>
      <c r="C3" s="125" t="inlineStr">
        <is>
          <t>Original Amount</t>
        </is>
      </c>
      <c r="D3" s="125" t="inlineStr">
        <is>
          <t>USD</t>
        </is>
      </c>
      <c r="E3" s="125" t="inlineStr">
        <is>
          <t>Category</t>
        </is>
      </c>
    </row>
    <row r="4">
      <c r="A4" t="inlineStr">
        <is>
          <t>Showroom renovation — 6th October City</t>
        </is>
      </c>
      <c r="B4" t="inlineStr">
        <is>
          <t>Jun 2026</t>
        </is>
      </c>
      <c r="C4" s="126" t="inlineStr">
        <is>
          <t>EGP 82,000</t>
        </is>
      </c>
      <c r="D4" s="127" t="n">
        <v>1640</v>
      </c>
      <c r="E4" s="128" t="inlineStr">
        <is>
          <t>Capex — Fit-out</t>
        </is>
      </c>
    </row>
    <row r="5">
      <c r="A5" t="inlineStr">
        <is>
          <t>Showroom furniture &amp; fittings</t>
        </is>
      </c>
      <c r="B5" t="inlineStr">
        <is>
          <t>Jun 2026</t>
        </is>
      </c>
      <c r="C5" s="126" t="inlineStr">
        <is>
          <t>EGP 85,000</t>
        </is>
      </c>
      <c r="D5" s="127" t="n">
        <v>1700</v>
      </c>
      <c r="E5" s="128" t="inlineStr">
        <is>
          <t>Capex — Fit-out</t>
        </is>
      </c>
    </row>
    <row r="6">
      <c r="A6" t="inlineStr">
        <is>
          <t>Security cameras &amp; CCTV</t>
        </is>
      </c>
      <c r="B6" t="inlineStr">
        <is>
          <t>Jun 2026</t>
        </is>
      </c>
      <c r="C6" s="126" t="inlineStr">
        <is>
          <t>EGP 7,500</t>
        </is>
      </c>
      <c r="D6" s="127" t="n">
        <v>150</v>
      </c>
      <c r="E6" s="128" t="inlineStr">
        <is>
          <t>Capex — Security</t>
        </is>
      </c>
    </row>
    <row r="7">
      <c r="A7" t="inlineStr">
        <is>
          <t>Additional setup &amp; equipment</t>
        </is>
      </c>
      <c r="B7" t="inlineStr">
        <is>
          <t>Jun 2026</t>
        </is>
      </c>
      <c r="C7" s="126" t="inlineStr">
        <is>
          <t>EGP 50,000</t>
        </is>
      </c>
      <c r="D7" s="127" t="n">
        <v>1000</v>
      </c>
      <c r="E7" s="128" t="inlineStr">
        <is>
          <t>Capex — Equipment</t>
        </is>
      </c>
    </row>
    <row r="8">
      <c r="A8" t="inlineStr">
        <is>
          <t>Legal &amp; licensing — Egypt company registration</t>
        </is>
      </c>
      <c r="B8" t="inlineStr">
        <is>
          <t>Jul 2025</t>
        </is>
      </c>
      <c r="C8" s="126" t="inlineStr">
        <is>
          <t>EGP 87,000</t>
        </is>
      </c>
      <c r="D8" s="127" t="n">
        <v>1740</v>
      </c>
      <c r="E8" s="128" t="inlineStr">
        <is>
          <t>OpEx — Legal/Egypt</t>
        </is>
      </c>
    </row>
    <row r="9">
      <c r="A9" t="inlineStr">
        <is>
          <t>Legal &amp; licensing — import permits Egypt</t>
        </is>
      </c>
      <c r="B9" t="inlineStr">
        <is>
          <t>Jun 2026</t>
        </is>
      </c>
      <c r="C9" s="126" t="inlineStr">
        <is>
          <t>EGP 80,000</t>
        </is>
      </c>
      <c r="D9" s="127" t="n">
        <v>1600</v>
      </c>
      <c r="E9" s="128" t="inlineStr">
        <is>
          <t>OpEx — Legal/Egypt</t>
        </is>
      </c>
    </row>
    <row r="10">
      <c r="A10" t="inlineStr">
        <is>
          <t>UAE business licence — NORCO General Trading LLC</t>
        </is>
      </c>
      <c r="B10" t="inlineStr">
        <is>
          <t>2025–2026</t>
        </is>
      </c>
      <c r="C10" s="126" t="inlineStr">
        <is>
          <t>AED 15,000</t>
        </is>
      </c>
      <c r="D10" s="127" t="n">
        <v>4084</v>
      </c>
      <c r="E10" s="128" t="inlineStr">
        <is>
          <t>OpEx — Legal/UAE</t>
        </is>
      </c>
    </row>
    <row r="11">
      <c r="A11" t="inlineStr">
        <is>
          <t>Showroom rent — pre-operations (2 months)</t>
        </is>
      </c>
      <c r="B11" t="inlineStr">
        <is>
          <t>Jun–Jul 2026</t>
        </is>
      </c>
      <c r="C11" s="126" t="inlineStr">
        <is>
          <t>EGP 20,000</t>
        </is>
      </c>
      <c r="D11" s="127" t="n">
        <v>400</v>
      </c>
      <c r="E11" s="128" t="inlineStr">
        <is>
          <t>OpEx — Rent</t>
        </is>
      </c>
    </row>
    <row r="12">
      <c r="A12" t="inlineStr">
        <is>
          <t>Sales representative salary — 2 months pre-launch</t>
        </is>
      </c>
      <c r="B12" t="inlineStr">
        <is>
          <t>Jun–Jul 2026</t>
        </is>
      </c>
      <c r="C12" s="126" t="inlineStr">
        <is>
          <t>2 × USD 500</t>
        </is>
      </c>
      <c r="D12" s="127" t="n">
        <v>1000</v>
      </c>
      <c r="E12" s="128" t="inlineStr">
        <is>
          <t>OpEx — Salaries</t>
        </is>
      </c>
    </row>
    <row r="13">
      <c r="A13" s="129" t="inlineStr">
        <is>
          <t>Products purchased &amp; sold through showroom (pre-launch trading)</t>
        </is>
      </c>
      <c r="B13" s="129" t="inlineStr">
        <is>
          <t>Jun–Jul 2026</t>
        </is>
      </c>
      <c r="C13" s="130" t="inlineStr">
        <is>
          <t>EGP 31,948.50</t>
        </is>
      </c>
      <c r="D13" s="131" t="n">
        <v>603</v>
      </c>
      <c r="E13" s="132" t="inlineStr">
        <is>
          <t>Working capital — Inventory</t>
        </is>
      </c>
    </row>
    <row r="14">
      <c r="A14" t="inlineStr">
        <is>
          <t>Company branding, logo &amp; stationery</t>
        </is>
      </c>
      <c r="B14" t="inlineStr">
        <is>
          <t>2025</t>
        </is>
      </c>
      <c r="C14" s="126" t="inlineStr">
        <is>
          <t>USD 300</t>
        </is>
      </c>
      <c r="D14" s="127" t="n">
        <v>300</v>
      </c>
      <c r="E14" s="128" t="inlineStr">
        <is>
          <t>OpEx — Marketing</t>
        </is>
      </c>
    </row>
    <row r="15">
      <c r="A15" t="inlineStr">
        <is>
          <t>Corporate website — norcotrading.com</t>
        </is>
      </c>
      <c r="B15" t="inlineStr">
        <is>
          <t>2025</t>
        </is>
      </c>
      <c r="C15" s="126" t="inlineStr">
        <is>
          <t>USD 300</t>
        </is>
      </c>
      <c r="D15" s="127" t="n">
        <v>300</v>
      </c>
      <c r="E15" s="128" t="inlineStr">
        <is>
          <t>OpEx — Marketing</t>
        </is>
      </c>
    </row>
    <row r="16">
      <c r="A16" s="133" t="inlineStr">
        <is>
          <t>TOTAL PRE-OPERATIONAL INVESTMENT</t>
        </is>
      </c>
      <c r="B16" s="134" t="n"/>
      <c r="C16" s="134" t="n"/>
      <c r="D16" s="135">
        <f>SUM(D4:D15)</f>
        <v/>
      </c>
      <c r="E16" s="134" t="n"/>
    </row>
    <row r="17">
      <c r="A17" s="12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6"/>
  <sheetViews>
    <sheetView topLeftCell="A72" zoomScaleNormal="100" workbookViewId="0">
      <selection activeCell="B6" sqref="B6"/>
    </sheetView>
  </sheetViews>
  <sheetFormatPr baseColWidth="8" defaultColWidth="8.6640625" defaultRowHeight="13.8"/>
  <cols>
    <col width="21.88671875" customWidth="1" style="151" min="1" max="1"/>
    <col width="16" customWidth="1" style="151" min="2" max="2"/>
    <col width="36" customWidth="1" style="148" min="3" max="3"/>
    <col width="10" customWidth="1" style="139" min="4" max="4"/>
    <col width="13" customWidth="1" style="139" min="5" max="5"/>
    <col width="11" customWidth="1" style="139" min="6" max="7"/>
    <col width="11" customWidth="1" style="138" min="8" max="8"/>
    <col width="8.6640625" customWidth="1" style="140" min="9" max="9"/>
    <col width="8.6640625" customWidth="1" style="138" min="10" max="16384"/>
  </cols>
  <sheetData>
    <row r="1" ht="20.4" customFormat="1" customHeight="1" s="10">
      <c r="A1" s="136" t="inlineStr">
        <is>
          <t>Pricing Reference — Both Divisions</t>
        </is>
      </c>
    </row>
    <row r="2">
      <c r="A2" s="161" t="inlineStr">
        <is>
          <t>A.  VESTWOODS — verified unit pricing (USD)</t>
        </is>
      </c>
    </row>
    <row r="3">
      <c r="A3" s="162" t="inlineStr">
        <is>
          <t>EGP 53 = USD 1 | 40ft container USD 6,865 shipping | landed = factory + freight + 5% duty + 2% GOEI + handling</t>
        </is>
      </c>
    </row>
    <row r="4">
      <c r="A4" s="163" t="inlineStr">
        <is>
          <t>Category</t>
        </is>
      </c>
      <c r="B4" s="164" t="inlineStr">
        <is>
          <t>Model</t>
        </is>
      </c>
      <c r="C4" s="141" t="inlineStr">
        <is>
          <t>Description</t>
        </is>
      </c>
      <c r="D4" s="142" t="inlineStr">
        <is>
          <t>Factory</t>
        </is>
      </c>
      <c r="E4" s="142" t="inlineStr">
        <is>
          <t>COGS</t>
        </is>
      </c>
      <c r="F4" s="142" t="inlineStr">
        <is>
          <t>Wholesale</t>
        </is>
      </c>
      <c r="G4" s="142" t="inlineStr">
        <is>
          <t>Retail USD</t>
        </is>
      </c>
      <c r="H4" s="141" t="inlineStr">
        <is>
          <t>Retail EGP</t>
        </is>
      </c>
    </row>
    <row r="5">
      <c r="A5" s="150" t="inlineStr">
        <is>
          <t>RESIDENTIAL</t>
        </is>
      </c>
      <c r="B5" s="150" t="inlineStr">
        <is>
          <t>VE51100L</t>
        </is>
      </c>
      <c r="C5" s="150" t="inlineStr">
        <is>
          <t>Smart Battery 5.12kWh L-Series IP21</t>
        </is>
      </c>
      <c r="D5" s="143" t="n">
        <v>672</v>
      </c>
      <c r="E5" s="143" t="n">
        <v>988</v>
      </c>
      <c r="F5" s="143" t="n">
        <v>1137</v>
      </c>
      <c r="G5" s="143" t="n">
        <v>1364</v>
      </c>
      <c r="H5" s="143">
        <f>G5*53</f>
        <v/>
      </c>
      <c r="I5" s="140">
        <f>(G5-E5)/E5</f>
        <v/>
      </c>
    </row>
    <row r="6">
      <c r="A6" s="151" t="inlineStr">
        <is>
          <t>RESIDENTIAL</t>
        </is>
      </c>
      <c r="B6" s="151" t="inlineStr">
        <is>
          <t>VE51200L</t>
        </is>
      </c>
      <c r="C6" s="151" t="inlineStr">
        <is>
          <t>Smart Battery 10.24kWh L-Series IP21</t>
        </is>
      </c>
      <c r="D6" s="144" t="n">
        <v>1200</v>
      </c>
      <c r="E6" s="144" t="n">
        <v>1748</v>
      </c>
      <c r="F6" s="144" t="n">
        <v>2011</v>
      </c>
      <c r="G6" s="144" t="n">
        <v>2413</v>
      </c>
      <c r="H6" s="144">
        <f>G6*53</f>
        <v/>
      </c>
      <c r="I6" s="140">
        <f>(G6-E6)/E6</f>
        <v/>
      </c>
    </row>
    <row r="7">
      <c r="A7" s="150" t="inlineStr">
        <is>
          <t>RESIDENTIAL</t>
        </is>
      </c>
      <c r="B7" s="150" t="inlineStr">
        <is>
          <t>VE51314L</t>
        </is>
      </c>
      <c r="C7" s="150" t="inlineStr">
        <is>
          <t>Smart Battery 16.07kWh L-Series IP21</t>
        </is>
      </c>
      <c r="D7" s="143" t="n">
        <v>1560</v>
      </c>
      <c r="E7" s="143" t="n">
        <v>2266</v>
      </c>
      <c r="F7" s="143" t="n">
        <v>2607</v>
      </c>
      <c r="G7" s="143" t="n">
        <v>3129</v>
      </c>
      <c r="H7" s="143">
        <f>G7*53</f>
        <v/>
      </c>
      <c r="I7" s="140">
        <f>(G7-E7)/E7</f>
        <v/>
      </c>
    </row>
    <row r="8">
      <c r="A8" s="151" t="inlineStr">
        <is>
          <t>RESIDENTIAL</t>
        </is>
      </c>
      <c r="B8" s="151" t="inlineStr">
        <is>
          <t>HEH-S6KB3-LV</t>
        </is>
      </c>
      <c r="C8" s="151" t="inlineStr">
        <is>
          <t>Hybrid Inverter 6kW IP65</t>
        </is>
      </c>
      <c r="D8" s="144" t="n">
        <v>390</v>
      </c>
      <c r="E8" s="144" t="n">
        <v>582</v>
      </c>
      <c r="F8" s="144" t="n">
        <v>670</v>
      </c>
      <c r="G8" s="144" t="n">
        <v>804</v>
      </c>
      <c r="H8" s="144">
        <f>G8*53</f>
        <v/>
      </c>
      <c r="I8" s="140">
        <f>(G8-E8)/E8</f>
        <v/>
      </c>
    </row>
    <row r="9">
      <c r="A9" s="150" t="inlineStr">
        <is>
          <t>RESIDENTIAL</t>
        </is>
      </c>
      <c r="B9" s="150" t="inlineStr">
        <is>
          <t>VEH-T20KA3-LV</t>
        </is>
      </c>
      <c r="C9" s="150" t="inlineStr">
        <is>
          <t>3-Phase Inverter 20kW</t>
        </is>
      </c>
      <c r="D9" s="143" t="n">
        <v>1870</v>
      </c>
      <c r="E9" s="143" t="n">
        <v>2713</v>
      </c>
      <c r="F9" s="143" t="n">
        <v>3121</v>
      </c>
      <c r="G9" s="143" t="n">
        <v>3745</v>
      </c>
      <c r="H9" s="143">
        <f>G9*53</f>
        <v/>
      </c>
      <c r="I9" s="140">
        <f>(G9-E9)/E9</f>
        <v/>
      </c>
    </row>
    <row r="10">
      <c r="A10" s="151" t="inlineStr">
        <is>
          <t>RESIDENTIAL</t>
        </is>
      </c>
      <c r="B10" s="151" t="inlineStr">
        <is>
          <t>VEP1K20</t>
        </is>
      </c>
      <c r="C10" s="151" t="inlineStr">
        <is>
          <t>Rescube All-in-One 1kW/2kWh</t>
        </is>
      </c>
      <c r="D10" s="144" t="n">
        <v>365</v>
      </c>
      <c r="E10" s="144" t="n">
        <v>546</v>
      </c>
      <c r="F10" s="144" t="n">
        <v>628</v>
      </c>
      <c r="G10" s="144" t="n">
        <v>754</v>
      </c>
      <c r="H10" s="144">
        <f>G10*53</f>
        <v/>
      </c>
      <c r="I10" s="140">
        <f>(G10-E10)/E10</f>
        <v/>
      </c>
    </row>
    <row r="11">
      <c r="A11" s="150" t="inlineStr">
        <is>
          <t>RESIDENTIAL</t>
        </is>
      </c>
      <c r="B11" s="150" t="inlineStr">
        <is>
          <t>VEP500W</t>
        </is>
      </c>
      <c r="C11" s="150" t="inlineStr">
        <is>
          <t>Rescube Portable 500W/1kWh</t>
        </is>
      </c>
      <c r="D11" s="143" t="n">
        <v>145</v>
      </c>
      <c r="E11" s="143" t="n">
        <v>229</v>
      </c>
      <c r="F11" s="143" t="n">
        <v>264</v>
      </c>
      <c r="G11" s="143" t="n">
        <v>317</v>
      </c>
      <c r="H11" s="143">
        <f>G11*53</f>
        <v/>
      </c>
      <c r="I11" s="140">
        <f>(G11-E11)/E11</f>
        <v/>
      </c>
    </row>
    <row r="12">
      <c r="A12" s="151" t="inlineStr">
        <is>
          <t>C&amp;I</t>
        </is>
      </c>
      <c r="B12" s="151" t="inlineStr">
        <is>
          <t>VCCU200-F05-SE</t>
        </is>
      </c>
      <c r="C12" s="151" t="inlineStr">
        <is>
          <t>HV Control Box 20kWh BMS</t>
        </is>
      </c>
      <c r="D12" s="144" t="n">
        <v>1400</v>
      </c>
      <c r="E12" s="144" t="n">
        <v>2044</v>
      </c>
      <c r="F12" s="144" t="n">
        <v>2361</v>
      </c>
      <c r="G12" s="144" t="n">
        <v>2833</v>
      </c>
      <c r="H12" s="144">
        <f>G12*53</f>
        <v/>
      </c>
      <c r="I12" s="140">
        <f>(G12-E12)/E12</f>
        <v/>
      </c>
    </row>
    <row r="13">
      <c r="A13" s="150" t="inlineStr">
        <is>
          <t>C&amp;I</t>
        </is>
      </c>
      <c r="B13" s="150" t="inlineStr">
        <is>
          <t>VEC64314SE</t>
        </is>
      </c>
      <c r="C13" s="150" t="inlineStr">
        <is>
          <t>C&amp;I Battery Module 20kWh</t>
        </is>
      </c>
      <c r="D13" s="143" t="n">
        <v>160</v>
      </c>
      <c r="E13" s="143" t="n">
        <v>258</v>
      </c>
      <c r="F13" s="143" t="n">
        <v>308</v>
      </c>
      <c r="G13" s="143" t="n">
        <v>369</v>
      </c>
      <c r="H13" s="143">
        <f>G13*53</f>
        <v/>
      </c>
      <c r="I13" s="140">
        <f>(G13-E13)/E13</f>
        <v/>
      </c>
    </row>
    <row r="14">
      <c r="A14" s="151" t="inlineStr">
        <is>
          <t>C&amp;I</t>
        </is>
      </c>
      <c r="B14" s="151" t="inlineStr">
        <is>
          <t>VEB 704-221kWh</t>
        </is>
      </c>
      <c r="C14" s="151" t="inlineStr">
        <is>
          <t>Industrial Cabinet 221kWh</t>
        </is>
      </c>
      <c r="D14" s="144" t="n">
        <v>27300</v>
      </c>
      <c r="E14" s="144" t="n">
        <v>39340</v>
      </c>
      <c r="F14" s="144" t="n">
        <v>45251</v>
      </c>
      <c r="G14" s="144" t="n">
        <v>54302</v>
      </c>
      <c r="H14" s="144">
        <f>G14*53</f>
        <v/>
      </c>
      <c r="I14" s="140">
        <f>(G14-E14)/E14</f>
        <v/>
      </c>
    </row>
    <row r="15">
      <c r="A15" s="150" t="inlineStr">
        <is>
          <t>C&amp;I</t>
        </is>
      </c>
      <c r="B15" s="150" t="inlineStr">
        <is>
          <t>VEB 832-261kWh</t>
        </is>
      </c>
      <c r="C15" s="150" t="inlineStr">
        <is>
          <t>Industrial Cabinet 261kWh</t>
        </is>
      </c>
      <c r="D15" s="143" t="n">
        <v>31350</v>
      </c>
      <c r="E15" s="143" t="n">
        <v>45172</v>
      </c>
      <c r="F15" s="143" t="n">
        <v>51958</v>
      </c>
      <c r="G15" s="143" t="n">
        <v>62350</v>
      </c>
      <c r="H15" s="143">
        <f>G15*53</f>
        <v/>
      </c>
      <c r="I15" s="140">
        <f>(G15-E15)/E15</f>
        <v/>
      </c>
    </row>
    <row r="16">
      <c r="A16" s="151" t="inlineStr">
        <is>
          <t>C&amp;I</t>
        </is>
      </c>
      <c r="B16" s="151" t="inlineStr">
        <is>
          <t>S6-EH3P50K-H</t>
        </is>
      </c>
      <c r="C16" s="151" t="inlineStr">
        <is>
          <t>Commercial Inverter 50kW</t>
        </is>
      </c>
      <c r="D16" s="144" t="n">
        <v>3995</v>
      </c>
      <c r="E16" s="144" t="n">
        <v>5781</v>
      </c>
      <c r="F16" s="144" t="n">
        <v>6658</v>
      </c>
      <c r="G16" s="144" t="n">
        <v>7990</v>
      </c>
      <c r="H16" s="144">
        <f>G16*53</f>
        <v/>
      </c>
      <c r="I16" s="140">
        <f>(G16-E16)/E16</f>
        <v/>
      </c>
    </row>
    <row r="17">
      <c r="A17" s="150" t="inlineStr">
        <is>
          <t>C&amp;I</t>
        </is>
      </c>
      <c r="B17" s="150" t="inlineStr">
        <is>
          <t>S6-EH3P125K10</t>
        </is>
      </c>
      <c r="C17" s="150" t="inlineStr">
        <is>
          <t>Commercial Inverter 125kW</t>
        </is>
      </c>
      <c r="D17" s="143" t="n">
        <v>8800</v>
      </c>
      <c r="E17" s="143" t="n">
        <v>12700</v>
      </c>
      <c r="F17" s="143" t="n">
        <v>14615</v>
      </c>
      <c r="G17" s="143" t="n">
        <v>17538</v>
      </c>
      <c r="H17" s="143">
        <f>G17*53</f>
        <v/>
      </c>
      <c r="I17" s="140">
        <f>(G17-E17)/E17</f>
        <v/>
      </c>
    </row>
    <row r="18">
      <c r="A18" s="151" t="inlineStr">
        <is>
          <t>TELECOM</t>
        </is>
      </c>
      <c r="B18" s="151" t="inlineStr">
        <is>
          <t>VT48100E</t>
        </is>
      </c>
      <c r="C18" s="151" t="inlineStr">
        <is>
          <t>Telecom Battery 48V/100Ah</t>
        </is>
      </c>
      <c r="D18" s="144" t="n">
        <v>563</v>
      </c>
      <c r="E18" s="144" t="n">
        <v>835</v>
      </c>
      <c r="F18" s="144" t="n">
        <v>1044</v>
      </c>
      <c r="G18" s="144" t="n">
        <v>1253</v>
      </c>
      <c r="H18" s="144">
        <f>G18*53</f>
        <v/>
      </c>
      <c r="I18" s="140">
        <f>(G18-E18)/E18</f>
        <v/>
      </c>
    </row>
    <row r="19">
      <c r="A19" s="150" t="inlineStr">
        <is>
          <t>TELECOM</t>
        </is>
      </c>
      <c r="B19" s="165" t="n"/>
      <c r="C19" s="150" t="inlineStr">
        <is>
          <t>Smart features: GPS, Bluetooth</t>
        </is>
      </c>
      <c r="D19" s="143" t="n">
        <v>104</v>
      </c>
      <c r="E19" s="143" t="n">
        <v>182</v>
      </c>
      <c r="F19" s="143" t="n">
        <v>206</v>
      </c>
      <c r="G19" s="145" t="n">
        <v>247</v>
      </c>
      <c r="H19" s="143">
        <f>G19*53</f>
        <v/>
      </c>
      <c r="I19" s="140">
        <f>(G19-E19)/E19</f>
        <v/>
      </c>
    </row>
    <row r="20">
      <c r="A20" s="151" t="inlineStr">
        <is>
          <t>TELECOM</t>
        </is>
      </c>
      <c r="B20" s="151" t="inlineStr">
        <is>
          <t>IMDC 36KW</t>
        </is>
      </c>
      <c r="C20" s="151" t="inlineStr">
        <is>
          <t>Integrated Power System 36kW</t>
        </is>
      </c>
      <c r="D20" s="144" t="n">
        <v>2426</v>
      </c>
      <c r="E20" s="144" t="n">
        <v>3518</v>
      </c>
      <c r="F20" s="144" t="n">
        <v>4403</v>
      </c>
      <c r="G20" s="144" t="n">
        <v>5284</v>
      </c>
      <c r="H20" s="144">
        <f>G20*53</f>
        <v/>
      </c>
      <c r="I20" s="140">
        <f>(G20-E20)/E20</f>
        <v/>
      </c>
    </row>
    <row r="21">
      <c r="A21" s="150" t="inlineStr">
        <is>
          <t>TELECOM</t>
        </is>
      </c>
      <c r="B21" s="150" t="n"/>
      <c r="C21" s="150" t="inlineStr">
        <is>
          <t>Outdoor cabinet-1</t>
        </is>
      </c>
      <c r="D21" s="143" t="n">
        <v>2739</v>
      </c>
      <c r="E21" s="143" t="n">
        <v>3968</v>
      </c>
      <c r="F21" s="143" t="n">
        <v>4787</v>
      </c>
      <c r="G21" s="143" t="n">
        <v>5744</v>
      </c>
      <c r="H21" s="143">
        <f>G21*53</f>
        <v/>
      </c>
      <c r="I21" s="140">
        <f>(G21-E21)/E21</f>
        <v/>
      </c>
    </row>
    <row r="22">
      <c r="A22" s="151" t="inlineStr">
        <is>
          <t>TELECOM</t>
        </is>
      </c>
      <c r="C22" s="151" t="inlineStr">
        <is>
          <t>Outdoor cabinet-2</t>
        </is>
      </c>
      <c r="D22" s="144" t="n">
        <v>2555</v>
      </c>
      <c r="E22" s="144" t="n">
        <v>3704</v>
      </c>
      <c r="F22" s="144" t="n">
        <v>4268</v>
      </c>
      <c r="G22" s="144" t="n">
        <v>5122</v>
      </c>
      <c r="H22" s="144">
        <f>G22*53</f>
        <v/>
      </c>
      <c r="I22" s="140">
        <f>(G22-E22)/E22</f>
        <v/>
      </c>
    </row>
    <row r="23">
      <c r="A23" s="150" t="inlineStr">
        <is>
          <t>TELECOM</t>
        </is>
      </c>
      <c r="B23" s="165" t="inlineStr">
        <is>
          <t>ZHS484KG-2</t>
        </is>
      </c>
      <c r="C23" s="150" t="inlineStr">
        <is>
          <t>Rectifier</t>
        </is>
      </c>
      <c r="D23" s="143" t="n">
        <v>173</v>
      </c>
      <c r="E23" s="143" t="n">
        <v>273</v>
      </c>
      <c r="F23" s="143" t="n">
        <v>342</v>
      </c>
      <c r="G23" s="145" t="n">
        <v>410</v>
      </c>
      <c r="H23" s="143">
        <f>G23*53</f>
        <v/>
      </c>
      <c r="I23" s="140">
        <f>(G23-E23)/E23</f>
        <v/>
      </c>
    </row>
    <row r="24">
      <c r="A24" s="151" t="inlineStr">
        <is>
          <t>TELECOM</t>
        </is>
      </c>
      <c r="B24" s="151" t="inlineStr">
        <is>
          <t>ZHS483KG</t>
        </is>
      </c>
      <c r="C24" s="151" t="inlineStr">
        <is>
          <t>Solar</t>
        </is>
      </c>
      <c r="D24" s="144" t="n">
        <v>180</v>
      </c>
      <c r="E24" s="144" t="n">
        <v>284</v>
      </c>
      <c r="F24" s="144" t="n">
        <v>355</v>
      </c>
      <c r="G24" s="144" t="n">
        <v>426</v>
      </c>
      <c r="H24" s="144">
        <f>G24*53</f>
        <v/>
      </c>
      <c r="I24" s="140">
        <f>(G24-E24)/E24</f>
        <v/>
      </c>
    </row>
    <row r="25">
      <c r="A25" s="161" t="inlineStr">
        <is>
          <t>B.  AL REEM PLASTICS — container economics (Angola, affiliated supply)</t>
        </is>
      </c>
    </row>
    <row r="26">
      <c r="A26" s="162" t="inlineStr">
        <is>
          <t>EGP 53 = USD 1 | 40ft container USD 2,500 shipping | landed = factory + freight + 5% duty + 2% GOEI + handling</t>
        </is>
      </c>
    </row>
    <row r="27">
      <c r="A27" s="163" t="inlineStr">
        <is>
          <t>Model</t>
        </is>
      </c>
      <c r="B27" s="275" t="n"/>
      <c r="C27" s="141" t="inlineStr">
        <is>
          <t>Code</t>
        </is>
      </c>
      <c r="D27" s="142" t="inlineStr">
        <is>
          <t>Factory</t>
        </is>
      </c>
      <c r="E27" s="142" t="inlineStr">
        <is>
          <t>COGS</t>
        </is>
      </c>
      <c r="F27" s="142" t="inlineStr">
        <is>
          <t>Wholesale</t>
        </is>
      </c>
      <c r="G27" s="142" t="inlineStr">
        <is>
          <t>Retail USD</t>
        </is>
      </c>
      <c r="H27" s="141" t="n"/>
    </row>
    <row r="28">
      <c r="A28" s="150" t="inlineStr">
        <is>
          <t>Sima Closet</t>
        </is>
      </c>
      <c r="B28" s="150" t="n"/>
      <c r="C28" s="149" t="n">
        <v>2601</v>
      </c>
      <c r="D28" s="146" t="n">
        <v>30.22</v>
      </c>
      <c r="E28" s="146" t="n">
        <v>36.98650000000001</v>
      </c>
      <c r="F28" s="146" t="n">
        <v>42.71249862812155</v>
      </c>
      <c r="G28" s="146" t="n">
        <v>51.25499835374586</v>
      </c>
      <c r="H28" s="146" t="n"/>
      <c r="I28" s="140">
        <f>(G28-E28)/E28</f>
        <v/>
      </c>
    </row>
    <row r="29" customFormat="1" s="156">
      <c r="A29" s="152" t="inlineStr">
        <is>
          <t>Sima Double closet</t>
        </is>
      </c>
      <c r="C29" s="153" t="n">
        <v>2681</v>
      </c>
      <c r="D29" s="154" t="n">
        <v>50.05</v>
      </c>
      <c r="E29" s="154" t="n">
        <v>61.14</v>
      </c>
      <c r="F29" s="154" t="n">
        <v>70.48902362812154</v>
      </c>
      <c r="G29" s="154" t="n">
        <v>84.58682835374586</v>
      </c>
      <c r="H29" s="154" t="n"/>
      <c r="I29" s="155">
        <f>(G29-E29)/E29</f>
        <v/>
      </c>
    </row>
    <row r="30" customFormat="1" s="156">
      <c r="A30" s="157" t="inlineStr">
        <is>
          <t>Sugar box with cover and spoon</t>
        </is>
      </c>
      <c r="C30" s="158" t="n">
        <v>1200</v>
      </c>
      <c r="D30" s="159" t="n">
        <v>0.308</v>
      </c>
      <c r="E30" s="159" t="n">
        <v>0.5452</v>
      </c>
      <c r="F30" s="159" t="n">
        <v>0.8050036281215411</v>
      </c>
      <c r="G30" s="160" t="n">
        <v>0.9660043537458494</v>
      </c>
      <c r="H30" s="159" t="n"/>
      <c r="I30" s="155">
        <f>(G30-E30)/E30</f>
        <v/>
      </c>
    </row>
    <row r="31" customFormat="1" s="156">
      <c r="A31" s="152" t="inlineStr">
        <is>
          <t>Round bowl 15cm</t>
        </is>
      </c>
      <c r="C31" s="153" t="n">
        <v>601</v>
      </c>
      <c r="D31" s="154" t="n">
        <v>0.1155</v>
      </c>
      <c r="E31" s="154" t="n">
        <v>0.3107</v>
      </c>
      <c r="F31" s="154" t="n">
        <v>0.5353286281215411</v>
      </c>
      <c r="G31" s="154" t="n">
        <v>0.6423943537458494</v>
      </c>
      <c r="H31" s="154" t="n"/>
      <c r="I31" s="155">
        <f>(G31-E31)/E31</f>
        <v/>
      </c>
    </row>
    <row r="32" customFormat="1" s="156">
      <c r="A32" s="157" t="inlineStr">
        <is>
          <t>Round bowl 18cm</t>
        </is>
      </c>
      <c r="C32" s="158" t="n">
        <v>602</v>
      </c>
      <c r="D32" s="159" t="n">
        <v>0.1386</v>
      </c>
      <c r="E32" s="159" t="n">
        <v>0.33884</v>
      </c>
      <c r="F32" s="159" t="n">
        <v>0.5676896281215412</v>
      </c>
      <c r="G32" s="160" t="n">
        <v>0.6812275537458494</v>
      </c>
      <c r="H32" s="159" t="n"/>
      <c r="I32" s="155">
        <f>(G32-E32)/E32</f>
        <v/>
      </c>
    </row>
    <row r="33" customFormat="1" s="156">
      <c r="A33" s="152" t="inlineStr">
        <is>
          <t>Round bowl 32cm</t>
        </is>
      </c>
      <c r="C33" s="153" t="n">
        <v>8</v>
      </c>
      <c r="D33" s="154" t="n">
        <v>0.6391</v>
      </c>
      <c r="E33" s="154" t="n">
        <v>0.9485399999999999</v>
      </c>
      <c r="F33" s="154" t="n">
        <v>1.268844628121541</v>
      </c>
      <c r="G33" s="154" t="n">
        <v>1.522613553745849</v>
      </c>
      <c r="H33" s="154" t="n"/>
      <c r="I33" s="155">
        <f>(G33-E33)/E33</f>
        <v/>
      </c>
    </row>
    <row r="34" customFormat="1" s="156">
      <c r="A34" s="157" t="inlineStr">
        <is>
          <t>Round bowl 36cm</t>
        </is>
      </c>
      <c r="C34" s="158" t="n">
        <v>607</v>
      </c>
      <c r="D34" s="159" t="n">
        <v>0.924</v>
      </c>
      <c r="E34" s="159" t="n">
        <v>1.2956</v>
      </c>
      <c r="F34" s="159" t="n">
        <v>1.667963628121541</v>
      </c>
      <c r="G34" s="160" t="n">
        <v>2.001556353745849</v>
      </c>
      <c r="H34" s="159" t="n"/>
      <c r="I34" s="155">
        <f>(G34-E34)/E34</f>
        <v/>
      </c>
    </row>
    <row r="35" customFormat="1" s="156">
      <c r="A35" s="152" t="inlineStr">
        <is>
          <t>Round bowl 45cm</t>
        </is>
      </c>
      <c r="C35" s="153" t="n">
        <v>608</v>
      </c>
      <c r="D35" s="154" t="n">
        <v>1.54</v>
      </c>
      <c r="E35" s="154" t="n">
        <v>2.046</v>
      </c>
      <c r="F35" s="154" t="n">
        <v>2.530923628121541</v>
      </c>
      <c r="G35" s="154" t="n">
        <v>3.03710835374585</v>
      </c>
      <c r="H35" s="154" t="n"/>
      <c r="I35" s="155">
        <f>(G35-E35)/E35</f>
        <v/>
      </c>
    </row>
    <row r="36" customFormat="1" s="156">
      <c r="A36" s="157" t="inlineStr">
        <is>
          <t>Round bowl 55cm</t>
        </is>
      </c>
      <c r="C36" s="158" t="n">
        <v>610</v>
      </c>
      <c r="D36" s="159" t="n">
        <v>2.002</v>
      </c>
      <c r="E36" s="159" t="n">
        <v>2.6088</v>
      </c>
      <c r="F36" s="159" t="n">
        <v>3.17814362812154</v>
      </c>
      <c r="G36" s="160" t="n">
        <v>3.813772353745849</v>
      </c>
      <c r="H36" s="159" t="n"/>
      <c r="I36" s="155">
        <f>(G36-E36)/E36</f>
        <v/>
      </c>
    </row>
    <row r="37" customFormat="1" s="156">
      <c r="A37" s="152" t="inlineStr">
        <is>
          <t>Round bowl 45cm with cover</t>
        </is>
      </c>
      <c r="C37" s="153" t="n">
        <v>609</v>
      </c>
      <c r="D37" s="154" t="n">
        <v>2.233</v>
      </c>
      <c r="E37" s="154" t="n">
        <v>2.8902</v>
      </c>
      <c r="F37" s="154" t="n">
        <v>3.501753628121541</v>
      </c>
      <c r="G37" s="154" t="n">
        <v>4.20210435374585</v>
      </c>
      <c r="H37" s="154" t="n"/>
      <c r="I37" s="155">
        <f>(G37-E37)/E37</f>
        <v/>
      </c>
    </row>
    <row r="38" customFormat="1" s="156">
      <c r="A38" s="157" t="inlineStr">
        <is>
          <t>Oval bowl 16L</t>
        </is>
      </c>
      <c r="C38" s="158" t="n">
        <v>625</v>
      </c>
      <c r="D38" s="159" t="n">
        <v>1.2705</v>
      </c>
      <c r="E38" s="159" t="n">
        <v>1.7177</v>
      </c>
      <c r="F38" s="159" t="n">
        <v>2.153378628121541</v>
      </c>
      <c r="G38" s="160" t="n">
        <v>2.584054353745849</v>
      </c>
      <c r="H38" s="159" t="n"/>
      <c r="I38" s="155">
        <f>(G38-E38)/E38</f>
        <v/>
      </c>
    </row>
    <row r="39" customFormat="1" s="156">
      <c r="A39" s="152" t="inlineStr">
        <is>
          <t>Square bowl 30cm</t>
        </is>
      </c>
      <c r="C39" s="153" t="n">
        <v>649</v>
      </c>
      <c r="D39" s="154" t="n">
        <v>0.6545</v>
      </c>
      <c r="E39" s="154" t="n">
        <v>0.9672999999999999</v>
      </c>
      <c r="F39" s="154" t="n">
        <v>1.290418628121541</v>
      </c>
      <c r="G39" s="154" t="n">
        <v>1.548502353745849</v>
      </c>
      <c r="H39" s="154" t="n"/>
      <c r="I39" s="155">
        <f>(G39-E39)/E39</f>
        <v/>
      </c>
    </row>
    <row r="40" customFormat="1" s="156">
      <c r="A40" s="157" t="inlineStr">
        <is>
          <t>Square bowl 38cm</t>
        </is>
      </c>
      <c r="C40" s="158" t="n">
        <v>650</v>
      </c>
      <c r="D40" s="159" t="n">
        <v>1.0395</v>
      </c>
      <c r="E40" s="159" t="n">
        <v>1.4363</v>
      </c>
      <c r="F40" s="159" t="n">
        <v>1.829768628121541</v>
      </c>
      <c r="G40" s="160" t="n">
        <v>2.195722353745849</v>
      </c>
      <c r="H40" s="159" t="n"/>
      <c r="I40" s="155">
        <f>(G40-E40)/E40</f>
        <v/>
      </c>
    </row>
    <row r="41" customFormat="1" s="156">
      <c r="A41" s="152" t="inlineStr">
        <is>
          <t>Square bowl 46cm</t>
        </is>
      </c>
      <c r="C41" s="153" t="n">
        <v>625</v>
      </c>
      <c r="D41" s="154" t="n">
        <v>1.6555</v>
      </c>
      <c r="E41" s="154" t="n">
        <v>2.1867</v>
      </c>
      <c r="F41" s="154" t="n">
        <v>2.692728628121541</v>
      </c>
      <c r="G41" s="154" t="n">
        <v>3.231274353745849</v>
      </c>
      <c r="H41" s="154" t="n"/>
      <c r="I41" s="155">
        <f>(G41-E41)/E41</f>
        <v/>
      </c>
    </row>
    <row r="42" customFormat="1" s="156">
      <c r="A42" s="157" t="inlineStr">
        <is>
          <t>Rectangular bowl 38cm</t>
        </is>
      </c>
      <c r="C42" s="158" t="n">
        <v>629</v>
      </c>
      <c r="D42" s="159" t="n">
        <v>0.7314999999999999</v>
      </c>
      <c r="E42" s="159" t="n">
        <v>1.0611</v>
      </c>
      <c r="F42" s="159" t="n">
        <v>1.398288628121541</v>
      </c>
      <c r="G42" s="160" t="n">
        <v>1.677946353745849</v>
      </c>
      <c r="H42" s="159" t="n"/>
      <c r="I42" s="155">
        <f>(G42-E42)/E42</f>
        <v/>
      </c>
    </row>
    <row r="43" customFormat="1" s="156">
      <c r="A43" s="152" t="inlineStr">
        <is>
          <t>55L Waste bin with cover</t>
        </is>
      </c>
      <c r="C43" s="153" t="n">
        <v>110</v>
      </c>
      <c r="D43" s="154" t="n">
        <v>3.9655</v>
      </c>
      <c r="E43" s="154" t="n">
        <v>5.0007</v>
      </c>
      <c r="F43" s="154" t="n">
        <v>5.928828628121541</v>
      </c>
      <c r="G43" s="154" t="n">
        <v>7.114594353745849</v>
      </c>
      <c r="H43" s="154" t="n"/>
      <c r="I43" s="155">
        <f>(G43-E43)/E43</f>
        <v/>
      </c>
    </row>
    <row r="44" customFormat="1" s="156">
      <c r="A44" s="157" t="inlineStr">
        <is>
          <t>90L waste bin with cover</t>
        </is>
      </c>
      <c r="C44" s="158" t="n">
        <v>112</v>
      </c>
      <c r="D44" s="159" t="n">
        <v>6.930000000000001</v>
      </c>
      <c r="E44" s="159" t="n">
        <v>8.612</v>
      </c>
      <c r="F44" s="159" t="n">
        <v>10.08182362812154</v>
      </c>
      <c r="G44" s="160" t="n">
        <v>12.09818835374585</v>
      </c>
      <c r="H44" s="159" t="n"/>
      <c r="I44" s="155">
        <f>(G44-E44)/E44</f>
        <v/>
      </c>
    </row>
    <row r="45" customFormat="1" s="156">
      <c r="A45" s="152" t="inlineStr">
        <is>
          <t>14L Oval Bucket with wringer</t>
        </is>
      </c>
      <c r="C45" s="153" t="n">
        <v>406</v>
      </c>
      <c r="D45" s="154" t="n">
        <v>1.8095</v>
      </c>
      <c r="E45" s="154" t="n">
        <v>2.3743</v>
      </c>
      <c r="F45" s="154" t="n">
        <v>2.908468628121541</v>
      </c>
      <c r="G45" s="154" t="n">
        <v>3.490162353745849</v>
      </c>
      <c r="H45" s="154" t="n"/>
      <c r="I45" s="155">
        <f>(G45-E45)/E45</f>
        <v/>
      </c>
    </row>
    <row r="46" customFormat="1" s="156">
      <c r="A46" s="157" t="inlineStr">
        <is>
          <t>22L Oval bucket with cover</t>
        </is>
      </c>
      <c r="C46" s="158" t="n">
        <v>403</v>
      </c>
      <c r="D46" s="159" t="n">
        <v>1.8095</v>
      </c>
      <c r="E46" s="159" t="n">
        <v>2.3743</v>
      </c>
      <c r="F46" s="159" t="n">
        <v>2.908468628121541</v>
      </c>
      <c r="G46" s="160" t="n">
        <v>3.490162353745849</v>
      </c>
      <c r="H46" s="159" t="n"/>
      <c r="I46" s="155">
        <f>(G46-E46)/E46</f>
        <v/>
      </c>
    </row>
    <row r="47" customFormat="1" s="156">
      <c r="A47" s="152" t="inlineStr">
        <is>
          <t>22L Oval bucket with squeezer</t>
        </is>
      </c>
      <c r="C47" s="153" t="n">
        <v>405</v>
      </c>
      <c r="D47" s="154" t="n">
        <v>1.8172</v>
      </c>
      <c r="E47" s="154" t="n">
        <v>2.38368</v>
      </c>
      <c r="F47" s="154" t="n">
        <v>2.919255628121541</v>
      </c>
      <c r="G47" s="154" t="n">
        <v>3.50310675374585</v>
      </c>
      <c r="H47" s="154" t="n"/>
      <c r="I47" s="155">
        <f>(G47-E47)/E47</f>
        <v/>
      </c>
    </row>
    <row r="48" customFormat="1" s="156">
      <c r="A48" s="157" t="inlineStr">
        <is>
          <t>16L Waste bin with step handle</t>
        </is>
      </c>
      <c r="C48" s="158" t="n">
        <v>107</v>
      </c>
      <c r="D48" s="159" t="n">
        <v>3.927</v>
      </c>
      <c r="E48" s="159" t="n">
        <v>4.953799999999999</v>
      </c>
      <c r="F48" s="159" t="n">
        <v>5.87489362812154</v>
      </c>
      <c r="G48" s="160" t="n">
        <v>7.049872353745847</v>
      </c>
      <c r="H48" s="159" t="n"/>
      <c r="I48" s="155">
        <f>(G48-E48)/E48</f>
        <v/>
      </c>
    </row>
    <row r="49" customFormat="1" s="156">
      <c r="A49" s="152" t="inlineStr">
        <is>
          <t>6L Waste bin with step handle</t>
        </is>
      </c>
      <c r="C49" s="153" t="n">
        <v>106</v>
      </c>
      <c r="D49" s="154" t="n">
        <v>1.925</v>
      </c>
      <c r="E49" s="154" t="n">
        <v>2.515</v>
      </c>
      <c r="F49" s="154" t="n">
        <v>3.070273628121541</v>
      </c>
      <c r="G49" s="154" t="n">
        <v>3.684328353745849</v>
      </c>
      <c r="H49" s="154" t="n"/>
      <c r="I49" s="155">
        <f>(G49-E49)/E49</f>
        <v/>
      </c>
    </row>
    <row r="50" customFormat="1" s="156">
      <c r="A50" s="157" t="inlineStr">
        <is>
          <t>12L Oval waste bin</t>
        </is>
      </c>
      <c r="C50" s="158" t="n">
        <v>108</v>
      </c>
      <c r="D50" s="159" t="n">
        <v>1.232</v>
      </c>
      <c r="E50" s="159" t="n">
        <v>1.6708</v>
      </c>
      <c r="F50" s="159" t="n">
        <v>2.099443628121541</v>
      </c>
      <c r="G50" s="160" t="n">
        <v>2.519332353745849</v>
      </c>
      <c r="H50" s="159" t="n"/>
      <c r="I50" s="155">
        <f>(G50-E50)/E50</f>
        <v/>
      </c>
    </row>
    <row r="51" customFormat="1" s="156">
      <c r="A51" s="152" t="inlineStr">
        <is>
          <t xml:space="preserve">22L Oval waste bin </t>
        </is>
      </c>
      <c r="C51" s="153" t="n">
        <v>109</v>
      </c>
      <c r="D51" s="154" t="n">
        <v>2.464</v>
      </c>
      <c r="E51" s="154" t="n">
        <v>3.1716</v>
      </c>
      <c r="F51" s="154" t="n">
        <v>3.825363628121541</v>
      </c>
      <c r="G51" s="154" t="n">
        <v>4.590436353745849</v>
      </c>
      <c r="H51" s="154" t="n"/>
      <c r="I51" s="155">
        <f>(G51-E51)/E51</f>
        <v/>
      </c>
    </row>
    <row r="52" customFormat="1" s="156">
      <c r="A52" s="157" t="inlineStr">
        <is>
          <t>50L Waste bin</t>
        </is>
      </c>
      <c r="C52" s="158" t="n">
        <v>104</v>
      </c>
      <c r="D52" s="159" t="n">
        <v>5.505500000000001</v>
      </c>
      <c r="E52" s="159" t="n">
        <v>6.8767</v>
      </c>
      <c r="F52" s="159" t="n">
        <v>8.086228628121541</v>
      </c>
      <c r="G52" s="160" t="n">
        <v>9.703474353745849</v>
      </c>
      <c r="H52" s="159" t="n"/>
      <c r="I52" s="155">
        <f>(G52-E52)/E52</f>
        <v/>
      </c>
    </row>
    <row r="53" customFormat="1" s="156">
      <c r="A53" s="152" t="inlineStr">
        <is>
          <t>14L Oval Bucket</t>
        </is>
      </c>
      <c r="C53" s="153" t="n">
        <v>402</v>
      </c>
      <c r="D53" s="154" t="n">
        <v>1.4245</v>
      </c>
      <c r="E53" s="154" t="n">
        <v>1.9053</v>
      </c>
      <c r="F53" s="154" t="n">
        <v>2.369118628121541</v>
      </c>
      <c r="G53" s="154" t="n">
        <v>2.842942353745849</v>
      </c>
      <c r="H53" s="154" t="n"/>
      <c r="I53" s="155">
        <f>(G53-E53)/E53</f>
        <v/>
      </c>
    </row>
    <row r="54" customFormat="1" s="156">
      <c r="A54" s="157" t="inlineStr">
        <is>
          <t>Washroom stool</t>
        </is>
      </c>
      <c r="C54" s="158" t="n">
        <v>1403</v>
      </c>
      <c r="D54" s="159" t="n">
        <v>1.617</v>
      </c>
      <c r="E54" s="159" t="n">
        <v>2.1398</v>
      </c>
      <c r="F54" s="159" t="n">
        <v>2.638793628121541</v>
      </c>
      <c r="G54" s="160" t="n">
        <v>3.166552353745849</v>
      </c>
      <c r="H54" s="159" t="n"/>
      <c r="I54" s="155">
        <f>(G54-E54)/E54</f>
        <v/>
      </c>
    </row>
    <row r="55" customFormat="1" s="156">
      <c r="A55" s="152" t="inlineStr">
        <is>
          <t>Baby Bathtub</t>
        </is>
      </c>
      <c r="C55" s="153" t="n">
        <v>1520</v>
      </c>
      <c r="D55" s="154" t="n">
        <v>3.6575</v>
      </c>
      <c r="E55" s="154" t="n">
        <v>4.625500000000001</v>
      </c>
      <c r="F55" s="154" t="n">
        <v>5.497348628121541</v>
      </c>
      <c r="G55" s="154" t="n">
        <v>6.596818353745849</v>
      </c>
      <c r="H55" s="154" t="n"/>
      <c r="I55" s="155">
        <f>(G55-E55)/E55</f>
        <v/>
      </c>
    </row>
    <row r="56" customFormat="1" s="156">
      <c r="A56" s="157" t="inlineStr">
        <is>
          <t>43L Storage box</t>
        </is>
      </c>
      <c r="C56" s="158" t="n">
        <v>2902</v>
      </c>
      <c r="D56" s="159" t="n">
        <v>5.505500000000001</v>
      </c>
      <c r="E56" s="159" t="n">
        <v>6.8767</v>
      </c>
      <c r="F56" s="159" t="n">
        <v>8.086228628121541</v>
      </c>
      <c r="G56" s="160" t="n">
        <v>9.703474353745849</v>
      </c>
      <c r="H56" s="159" t="n"/>
      <c r="I56" s="155">
        <f>(G56-E56)/E56</f>
        <v/>
      </c>
    </row>
    <row r="57" customFormat="1" s="156">
      <c r="A57" s="152" t="inlineStr">
        <is>
          <t>65L Storage box</t>
        </is>
      </c>
      <c r="C57" s="153" t="n">
        <v>2901</v>
      </c>
      <c r="D57" s="154" t="n">
        <v>6.8145</v>
      </c>
      <c r="E57" s="154" t="n">
        <v>8.471299999999999</v>
      </c>
      <c r="F57" s="154" t="n">
        <v>9.920018628121541</v>
      </c>
      <c r="G57" s="154" t="n">
        <v>11.90402235374585</v>
      </c>
      <c r="H57" s="154" t="n"/>
      <c r="I57" s="155">
        <f>(G57-E57)/E57</f>
        <v/>
      </c>
    </row>
    <row r="58" customFormat="1" s="156">
      <c r="A58" s="157" t="inlineStr">
        <is>
          <t>Bathroom basin</t>
        </is>
      </c>
      <c r="C58" s="158" t="n">
        <v>1502</v>
      </c>
      <c r="D58" s="159" t="n">
        <v>2.233</v>
      </c>
      <c r="E58" s="159" t="n">
        <v>2.8902</v>
      </c>
      <c r="F58" s="159" t="n">
        <v>3.501753628121541</v>
      </c>
      <c r="G58" s="160" t="n">
        <v>4.20210435374585</v>
      </c>
      <c r="H58" s="159" t="n"/>
      <c r="I58" s="155">
        <f>(G58-E58)/E58</f>
        <v/>
      </c>
    </row>
    <row r="59" customFormat="1" s="156">
      <c r="A59" s="152" t="inlineStr">
        <is>
          <t>Wide hanger X6</t>
        </is>
      </c>
      <c r="C59" s="153" t="n">
        <v>2701</v>
      </c>
      <c r="D59" s="154" t="n">
        <v>1.1165</v>
      </c>
      <c r="E59" s="154" t="n">
        <v>1.5301</v>
      </c>
      <c r="F59" s="154" t="n">
        <v>1.937638628121541</v>
      </c>
      <c r="G59" s="154" t="n">
        <v>2.325166353745849</v>
      </c>
      <c r="H59" s="154" t="n"/>
      <c r="I59" s="155">
        <f>(G59-E59)/E59</f>
        <v/>
      </c>
    </row>
    <row r="60" customFormat="1" s="156">
      <c r="A60" s="157" t="inlineStr">
        <is>
          <t>Narrow hanger X6</t>
        </is>
      </c>
      <c r="C60" s="158" t="n">
        <v>2702</v>
      </c>
      <c r="D60" s="159" t="n">
        <v>1.1165</v>
      </c>
      <c r="E60" s="159" t="n">
        <v>1.5301</v>
      </c>
      <c r="F60" s="159" t="n">
        <v>1.937638628121541</v>
      </c>
      <c r="G60" s="160" t="n">
        <v>2.325166353745849</v>
      </c>
      <c r="H60" s="159" t="n"/>
      <c r="I60" s="155">
        <f>(G60-E60)/E60</f>
        <v/>
      </c>
    </row>
    <row r="61" customFormat="1" s="156">
      <c r="A61" s="152" t="inlineStr">
        <is>
          <t>8L Oval Strainer</t>
        </is>
      </c>
      <c r="C61" s="153" t="n">
        <v>1004</v>
      </c>
      <c r="D61" s="154" t="n">
        <v>0.6545</v>
      </c>
      <c r="E61" s="154" t="n">
        <v>0.9672999999999999</v>
      </c>
      <c r="F61" s="154" t="n">
        <v>1.290418628121541</v>
      </c>
      <c r="G61" s="154" t="n">
        <v>1.548502353745849</v>
      </c>
      <c r="H61" s="154" t="n"/>
      <c r="I61" s="155">
        <f>(G61-E61)/E61</f>
        <v/>
      </c>
    </row>
    <row r="62" customFormat="1" s="156">
      <c r="A62" s="157" t="inlineStr">
        <is>
          <t>Rattan Chair</t>
        </is>
      </c>
      <c r="C62" s="158" t="n">
        <v>1410</v>
      </c>
      <c r="D62" s="159" t="n">
        <v>9.625</v>
      </c>
      <c r="E62" s="159" t="n">
        <v>11.895</v>
      </c>
      <c r="F62" s="159" t="n">
        <v>13.85727362812154</v>
      </c>
      <c r="G62" s="160" t="n">
        <v>16.62872835374585</v>
      </c>
      <c r="H62" s="159" t="n"/>
      <c r="I62" s="155">
        <f>(G62-E62)/E62</f>
        <v/>
      </c>
    </row>
    <row r="63" customFormat="1" s="156">
      <c r="A63" s="152" t="inlineStr">
        <is>
          <t>Chair with arms</t>
        </is>
      </c>
      <c r="C63" s="153" t="n">
        <v>1402</v>
      </c>
      <c r="D63" s="154" t="n">
        <v>6.16</v>
      </c>
      <c r="E63" s="154" t="n">
        <v>7.673999999999999</v>
      </c>
      <c r="F63" s="154" t="n">
        <v>9.003123628121539</v>
      </c>
      <c r="G63" s="154" t="n">
        <v>10.80374835374585</v>
      </c>
      <c r="H63" s="154" t="n"/>
      <c r="I63" s="155">
        <f>(G63-E63)/E63</f>
        <v/>
      </c>
    </row>
    <row r="64" customFormat="1" s="156">
      <c r="A64" s="157" t="inlineStr">
        <is>
          <t>Foldable children's chair</t>
        </is>
      </c>
      <c r="C64" s="158" t="n">
        <v>1420</v>
      </c>
      <c r="D64" s="159" t="n">
        <v>2.6565</v>
      </c>
      <c r="E64" s="159" t="n">
        <v>3.4061</v>
      </c>
      <c r="F64" s="159" t="n">
        <v>4.095038628121541</v>
      </c>
      <c r="G64" s="160" t="n">
        <v>4.914046353745849</v>
      </c>
      <c r="H64" s="159" t="n"/>
      <c r="I64" s="155">
        <f>(G64-E64)/E64</f>
        <v/>
      </c>
    </row>
    <row r="65" customFormat="1" s="156">
      <c r="A65" s="152" t="inlineStr">
        <is>
          <t>Armless Chair</t>
        </is>
      </c>
      <c r="C65" s="153" t="n">
        <v>1404</v>
      </c>
      <c r="D65" s="154" t="n">
        <v>5.5825</v>
      </c>
      <c r="E65" s="154" t="n">
        <v>6.970499999999999</v>
      </c>
      <c r="F65" s="154" t="n">
        <v>8.194098628121541</v>
      </c>
      <c r="G65" s="154" t="n">
        <v>9.83291835374585</v>
      </c>
      <c r="H65" s="154" t="n"/>
      <c r="I65" s="155">
        <f>(G65-E65)/E65</f>
        <v/>
      </c>
    </row>
    <row r="66" customFormat="1" s="156">
      <c r="A66" s="157" t="inlineStr">
        <is>
          <t>Cake box</t>
        </is>
      </c>
      <c r="C66" s="158" t="n">
        <v>1205</v>
      </c>
      <c r="D66" s="159" t="n">
        <v>2.8105</v>
      </c>
      <c r="E66" s="159" t="n">
        <v>3.5937</v>
      </c>
      <c r="F66" s="159" t="n">
        <v>4.310778628121541</v>
      </c>
      <c r="G66" s="160" t="n">
        <v>5.172934353745848</v>
      </c>
      <c r="H66" s="159" t="n"/>
      <c r="I66" s="155">
        <f>(G66-E66)/E66</f>
        <v/>
      </c>
    </row>
    <row r="67" customFormat="1" s="156">
      <c r="A67" s="152" t="inlineStr">
        <is>
          <t>Cake box with plate</t>
        </is>
      </c>
      <c r="C67" s="153" t="n">
        <v>1206</v>
      </c>
      <c r="D67" s="154" t="n">
        <v>3.4265</v>
      </c>
      <c r="E67" s="154" t="n">
        <v>4.3441</v>
      </c>
      <c r="F67" s="154" t="n">
        <v>5.173738628121541</v>
      </c>
      <c r="G67" s="154" t="n">
        <v>6.208486353745849</v>
      </c>
      <c r="H67" s="154" t="n"/>
      <c r="I67" s="155">
        <f>(G67-E67)/E67</f>
        <v/>
      </c>
    </row>
    <row r="68" customFormat="1" s="156">
      <c r="A68" s="157" t="inlineStr">
        <is>
          <t>Cup with handle</t>
        </is>
      </c>
      <c r="C68" s="158" t="n">
        <v>1061</v>
      </c>
      <c r="D68" s="159" t="n">
        <v>0.1925</v>
      </c>
      <c r="E68" s="159" t="n">
        <v>0.4045</v>
      </c>
      <c r="F68" s="159" t="n">
        <v>0.6431986281215412</v>
      </c>
      <c r="G68" s="160" t="n">
        <v>0.7718383537458494</v>
      </c>
      <c r="H68" s="159" t="n"/>
      <c r="I68" s="155">
        <f>(G68-E68)/E68</f>
        <v/>
      </c>
    </row>
    <row r="69" customFormat="1" s="156">
      <c r="A69" s="152" t="inlineStr">
        <is>
          <t>Industrial basket</t>
        </is>
      </c>
      <c r="C69" s="153" t="n">
        <v>201</v>
      </c>
      <c r="D69" s="154" t="n">
        <v>5.236</v>
      </c>
      <c r="E69" s="154" t="n">
        <v>6.548399999999999</v>
      </c>
      <c r="F69" s="154" t="n">
        <v>7.708683628121539</v>
      </c>
      <c r="G69" s="154" t="n">
        <v>9.250420353745847</v>
      </c>
      <c r="H69" s="154" t="n"/>
      <c r="I69" s="155">
        <f>(G69-E69)/E69</f>
        <v/>
      </c>
    </row>
    <row r="70" customFormat="1" s="156">
      <c r="A70" s="157" t="inlineStr">
        <is>
          <t>Large laundry basket</t>
        </is>
      </c>
      <c r="C70" s="158" t="n">
        <v>205</v>
      </c>
      <c r="D70" s="159" t="n">
        <v>3.3495</v>
      </c>
      <c r="E70" s="159" t="n">
        <v>4.2503</v>
      </c>
      <c r="F70" s="159" t="n">
        <v>5.065868628121541</v>
      </c>
      <c r="G70" s="160" t="n">
        <v>6.079042353745849</v>
      </c>
      <c r="H70" s="159" t="n"/>
      <c r="I70" s="155">
        <f>(G70-E70)/E70</f>
        <v/>
      </c>
    </row>
    <row r="71" customFormat="1" s="156">
      <c r="A71" s="152" t="inlineStr">
        <is>
          <t>Oval Laundry Basket</t>
        </is>
      </c>
      <c r="C71" s="153" t="n">
        <v>203</v>
      </c>
      <c r="D71" s="154" t="n">
        <v>3.5805</v>
      </c>
      <c r="E71" s="154" t="n">
        <v>4.5317</v>
      </c>
      <c r="F71" s="154" t="n">
        <v>5.38947862812154</v>
      </c>
      <c r="G71" s="154" t="n">
        <v>6.467374353745848</v>
      </c>
      <c r="H71" s="154" t="n"/>
      <c r="I71" s="155">
        <f>(G71-E71)/E71</f>
        <v/>
      </c>
    </row>
    <row r="72" customFormat="1" s="156">
      <c r="A72" s="157" t="inlineStr">
        <is>
          <t>Small Laundry Basket</t>
        </is>
      </c>
      <c r="C72" s="158" t="n">
        <v>204</v>
      </c>
      <c r="D72" s="159" t="n">
        <v>1.4245</v>
      </c>
      <c r="E72" s="159" t="n">
        <v>1.9053</v>
      </c>
      <c r="F72" s="159" t="n">
        <v>2.369118628121541</v>
      </c>
      <c r="G72" s="160" t="n">
        <v>2.842942353745849</v>
      </c>
      <c r="H72" s="159" t="n"/>
      <c r="I72" s="155">
        <f>(G72-E72)/E72</f>
        <v/>
      </c>
    </row>
    <row r="73" customFormat="1" s="156">
      <c r="A73" s="152" t="inlineStr">
        <is>
          <t>Cesto lavandaria Rosa</t>
        </is>
      </c>
      <c r="C73" s="153" t="n">
        <v>207</v>
      </c>
      <c r="D73" s="154" t="n">
        <v>5.39</v>
      </c>
      <c r="E73" s="154" t="n">
        <v>6.736</v>
      </c>
      <c r="F73" s="154" t="n">
        <v>7.924423628121541</v>
      </c>
      <c r="G73" s="154" t="n">
        <v>9.509308353745849</v>
      </c>
      <c r="H73" s="154" t="n"/>
      <c r="I73" s="155">
        <f>(G73-E73)/E73</f>
        <v/>
      </c>
    </row>
    <row r="74" customFormat="1" s="156">
      <c r="A74" s="157" t="inlineStr">
        <is>
          <t>Large Laundry Basket with Lid</t>
        </is>
      </c>
      <c r="C74" s="158" t="n">
        <v>202</v>
      </c>
      <c r="D74" s="159" t="n">
        <v>5.9675</v>
      </c>
      <c r="E74" s="159" t="n">
        <v>7.4395</v>
      </c>
      <c r="F74" s="159" t="n">
        <v>8.73344862812154</v>
      </c>
      <c r="G74" s="160" t="n">
        <v>10.48013835374585</v>
      </c>
      <c r="H74" s="159" t="n"/>
      <c r="I74" s="155">
        <f>(G74-E74)/E74</f>
        <v/>
      </c>
    </row>
    <row r="75" customFormat="1" s="156">
      <c r="A75" s="152" t="inlineStr">
        <is>
          <t>Picnic basket</t>
        </is>
      </c>
      <c r="C75" s="153" t="n">
        <v>1215</v>
      </c>
      <c r="D75" s="154" t="n">
        <v>2.6565</v>
      </c>
      <c r="E75" s="154" t="n">
        <v>3.4061</v>
      </c>
      <c r="F75" s="154" t="n">
        <v>4.095038628121541</v>
      </c>
      <c r="G75" s="154" t="n">
        <v>4.914046353745849</v>
      </c>
      <c r="H75" s="154" t="n"/>
      <c r="I75" s="155">
        <f>(G75-E75)/E75</f>
        <v/>
      </c>
    </row>
    <row r="76" customFormat="1" s="156">
      <c r="A76" s="157" t="inlineStr">
        <is>
          <t>Storage Drawers (3)</t>
        </is>
      </c>
      <c r="C76" s="158" t="n">
        <v>2306</v>
      </c>
      <c r="D76" s="159" t="n">
        <v>9.817499999999999</v>
      </c>
      <c r="E76" s="159" t="n">
        <v>12.1295</v>
      </c>
      <c r="F76" s="159" t="n">
        <v>14.12694862812154</v>
      </c>
      <c r="G76" s="160" t="n">
        <v>16.95233835374585</v>
      </c>
      <c r="H76" s="159" t="n"/>
      <c r="I76" s="155">
        <f>(G76-E76)/E76</f>
        <v/>
      </c>
    </row>
    <row r="77" customFormat="1" s="156">
      <c r="A77" s="152" t="inlineStr">
        <is>
          <t>Storage Drawers (3) with Compartment</t>
        </is>
      </c>
      <c r="C77" s="153" t="n">
        <v>2316</v>
      </c>
      <c r="D77" s="154" t="n">
        <v>12.1275</v>
      </c>
      <c r="E77" s="154" t="n">
        <v>14.9435</v>
      </c>
      <c r="F77" s="154" t="n">
        <v>17.36304862812154</v>
      </c>
      <c r="G77" s="154" t="n">
        <v>20.83565835374585</v>
      </c>
      <c r="H77" s="154" t="n"/>
      <c r="I77" s="155">
        <f>(G77-E77)/E77</f>
        <v/>
      </c>
    </row>
    <row r="78" customFormat="1" s="156">
      <c r="A78" s="157" t="inlineStr">
        <is>
          <t>Transparent Storage Drawers (3)</t>
        </is>
      </c>
      <c r="C78" s="158" t="n">
        <v>2315</v>
      </c>
      <c r="D78" s="159" t="n">
        <v>9.856</v>
      </c>
      <c r="E78" s="159" t="n">
        <v>12.1764</v>
      </c>
      <c r="F78" s="159" t="n">
        <v>14.18088362812154</v>
      </c>
      <c r="G78" s="160" t="n">
        <v>17.01706035374585</v>
      </c>
      <c r="H78" s="159" t="n"/>
      <c r="I78" s="155">
        <f>(G78-E78)/E78</f>
        <v/>
      </c>
    </row>
    <row r="79" ht="30" customFormat="1" customHeight="1" s="156">
      <c r="A79" s="152" t="inlineStr">
        <is>
          <t>Transparent Storage Drawers (3) with Compartment</t>
        </is>
      </c>
      <c r="C79" s="153" t="n">
        <v>2313</v>
      </c>
      <c r="D79" s="154" t="n">
        <v>12.1275</v>
      </c>
      <c r="E79" s="154" t="n">
        <v>14.9435</v>
      </c>
      <c r="F79" s="154" t="n">
        <v>17.36304862812154</v>
      </c>
      <c r="G79" s="154" t="n">
        <v>20.83565835374585</v>
      </c>
      <c r="H79" s="154" t="n"/>
      <c r="I79" s="155">
        <f>(G79-E79)/E79</f>
        <v/>
      </c>
    </row>
    <row r="80" customFormat="1" s="156">
      <c r="A80" s="157" t="inlineStr">
        <is>
          <t>Aerated Storage drawers (4)</t>
        </is>
      </c>
      <c r="C80" s="158" t="n">
        <v>2311</v>
      </c>
      <c r="D80" s="159" t="n">
        <v>12.1275</v>
      </c>
      <c r="E80" s="159" t="n">
        <v>14.9435</v>
      </c>
      <c r="F80" s="159" t="n">
        <v>17.36304862812154</v>
      </c>
      <c r="G80" s="160" t="n">
        <v>20.83565835374585</v>
      </c>
      <c r="H80" s="159" t="n"/>
      <c r="I80" s="155">
        <f>(G80-E80)/E80</f>
        <v/>
      </c>
    </row>
    <row r="81" ht="28.2" customFormat="1" customHeight="1" s="156">
      <c r="A81" s="152" t="inlineStr">
        <is>
          <t>Aerated Storage Drawers (4) with Compartment</t>
        </is>
      </c>
      <c r="C81" s="153" t="n">
        <v>2309</v>
      </c>
      <c r="D81" s="154" t="n">
        <v>14.784</v>
      </c>
      <c r="E81" s="154" t="n">
        <v>18.1796</v>
      </c>
      <c r="F81" s="154" t="n">
        <v>21.08456362812154</v>
      </c>
      <c r="G81" s="154" t="n">
        <v>25.30147635374585</v>
      </c>
      <c r="H81" s="154" t="n"/>
      <c r="I81" s="155">
        <f>(G81-E81)/E81</f>
        <v/>
      </c>
    </row>
    <row r="82" customFormat="1" s="156">
      <c r="A82" s="157" t="inlineStr">
        <is>
          <t>Transparent Aerated Storage Drawers (4)</t>
        </is>
      </c>
      <c r="C82" s="158" t="n">
        <v>2312</v>
      </c>
      <c r="D82" s="159" t="n">
        <v>12.551</v>
      </c>
      <c r="E82" s="159" t="n">
        <v>15.4594</v>
      </c>
      <c r="F82" s="159" t="n">
        <v>17.95633362812154</v>
      </c>
      <c r="G82" s="160" t="n">
        <v>21.54760035374585</v>
      </c>
      <c r="H82" s="159" t="n"/>
      <c r="I82" s="155">
        <f>(G82-E82)/E82</f>
        <v/>
      </c>
    </row>
    <row r="83" customFormat="1" s="156">
      <c r="A83" s="152" t="inlineStr">
        <is>
          <t>Transparent Aerated Storage Drawers (4) with Compartment</t>
        </is>
      </c>
      <c r="C83" s="153" t="n">
        <v>2317</v>
      </c>
      <c r="D83" s="154" t="n">
        <v>14.784</v>
      </c>
      <c r="E83" s="154" t="n">
        <v>18.1796</v>
      </c>
      <c r="F83" s="154" t="n">
        <v>21.08456362812154</v>
      </c>
      <c r="G83" s="154" t="n">
        <v>25.30147635374585</v>
      </c>
      <c r="H83" s="154" t="n"/>
      <c r="I83" s="155">
        <f>(G83-E83)/E83</f>
        <v/>
      </c>
    </row>
    <row r="84" customFormat="1" s="156">
      <c r="A84" s="157" t="inlineStr">
        <is>
          <t>Green Valley Vegetable Basket</t>
        </is>
      </c>
      <c r="C84" s="158" t="n">
        <v>311</v>
      </c>
      <c r="D84" s="159" t="n">
        <v>4.8125</v>
      </c>
      <c r="E84" s="159" t="n">
        <v>6.0325</v>
      </c>
      <c r="F84" s="159" t="n">
        <v>7.11539862812154</v>
      </c>
      <c r="G84" s="160" t="n">
        <v>8.538478353745848</v>
      </c>
      <c r="H84" s="159" t="n"/>
      <c r="I84" s="155">
        <f>(G84-E84)/E84</f>
        <v/>
      </c>
    </row>
    <row r="85" customFormat="1" s="156">
      <c r="A85" s="152" t="inlineStr">
        <is>
          <t>Vegetable Basket 3 levels without cover</t>
        </is>
      </c>
      <c r="C85" s="153" t="n">
        <v>304</v>
      </c>
      <c r="D85" s="154" t="n">
        <v>5.9675</v>
      </c>
      <c r="E85" s="154" t="n">
        <v>7.4395</v>
      </c>
      <c r="F85" s="154" t="n">
        <v>8.73344862812154</v>
      </c>
      <c r="G85" s="154" t="n">
        <v>10.48013835374585</v>
      </c>
      <c r="H85" s="154" t="n"/>
      <c r="I85" s="155">
        <f>(G85-E85)/E85</f>
        <v/>
      </c>
    </row>
    <row r="86" customFormat="1" s="156">
      <c r="A86" s="157" t="inlineStr">
        <is>
          <t>Vegetable Basket 4 levels without cover</t>
        </is>
      </c>
      <c r="C86" s="158" t="n">
        <v>303</v>
      </c>
      <c r="D86" s="159" t="n">
        <v>7.661499999999999</v>
      </c>
      <c r="E86" s="159" t="n">
        <v>9.5031</v>
      </c>
      <c r="F86" s="159" t="n">
        <v>11.10658862812154</v>
      </c>
      <c r="G86" s="160" t="n">
        <v>13.32790635374585</v>
      </c>
      <c r="H86" s="159" t="n"/>
      <c r="I86" s="155">
        <f>(G86-E86)/E86</f>
        <v/>
      </c>
    </row>
    <row r="87" customFormat="1" s="156">
      <c r="A87" s="152" t="inlineStr">
        <is>
          <t>Vegetable Basket 3 levels with cover</t>
        </is>
      </c>
      <c r="C87" s="153" t="n">
        <v>302</v>
      </c>
      <c r="D87" s="154" t="n">
        <v>10.01</v>
      </c>
      <c r="E87" s="154" t="n">
        <v>12.364</v>
      </c>
      <c r="F87" s="154" t="n">
        <v>14.39662362812154</v>
      </c>
      <c r="G87" s="154" t="n">
        <v>17.27594835374585</v>
      </c>
      <c r="H87" s="154" t="n"/>
      <c r="I87" s="155">
        <f>(G87-E87)/E87</f>
        <v/>
      </c>
    </row>
    <row r="88" customFormat="1" s="156">
      <c r="A88" s="157" t="inlineStr">
        <is>
          <t>Vegetable Basket 4 levels with cover</t>
        </is>
      </c>
      <c r="C88" s="158" t="n">
        <v>301</v>
      </c>
      <c r="D88" s="159" t="n">
        <v>13.0515</v>
      </c>
      <c r="E88" s="159" t="n">
        <v>16.0691</v>
      </c>
      <c r="F88" s="159" t="n">
        <v>18.65748862812154</v>
      </c>
      <c r="G88" s="160" t="n">
        <v>22.38898635374585</v>
      </c>
      <c r="H88" s="159" t="n"/>
      <c r="I88" s="155">
        <f>(G88-E88)/E88</f>
        <v/>
      </c>
    </row>
    <row r="89" customFormat="1" s="156">
      <c r="A89" s="152" t="inlineStr">
        <is>
          <t>Large Storage Drawers (3)</t>
        </is>
      </c>
      <c r="C89" s="153" t="n">
        <v>2353</v>
      </c>
      <c r="D89" s="154" t="n">
        <v>14.322</v>
      </c>
      <c r="E89" s="154" t="n">
        <v>17.6168</v>
      </c>
      <c r="F89" s="154" t="n">
        <v>20.43734362812154</v>
      </c>
      <c r="G89" s="154" t="n">
        <v>24.52481235374585</v>
      </c>
      <c r="H89" s="154" t="n"/>
      <c r="I89" s="155">
        <f>(G89-E89)/E89</f>
        <v/>
      </c>
    </row>
    <row r="90" customFormat="1" s="156">
      <c r="A90" s="157" t="inlineStr">
        <is>
          <t xml:space="preserve">Storage Drawers (3) </t>
        </is>
      </c>
      <c r="C90" s="158" t="n">
        <v>2299</v>
      </c>
      <c r="D90" s="159" t="n">
        <v>9.971500000000001</v>
      </c>
      <c r="E90" s="159" t="n">
        <v>12.3171</v>
      </c>
      <c r="F90" s="159" t="n">
        <v>14.34268862812154</v>
      </c>
      <c r="G90" s="160" t="n">
        <v>17.21122635374585</v>
      </c>
      <c r="H90" s="159" t="n"/>
      <c r="I90" s="155">
        <f>(G90-E90)/E90</f>
        <v/>
      </c>
    </row>
    <row r="91" customFormat="1" s="156">
      <c r="A91" s="152" t="inlineStr">
        <is>
          <t>Storage Drawer (3) with Compartment</t>
        </is>
      </c>
      <c r="C91" s="153" t="n">
        <v>2314</v>
      </c>
      <c r="D91" s="154" t="n">
        <v>12.2045</v>
      </c>
      <c r="E91" s="154" t="n">
        <v>15.0373</v>
      </c>
      <c r="F91" s="154" t="n">
        <v>17.47091862812154</v>
      </c>
      <c r="G91" s="154" t="n">
        <v>20.96510235374584</v>
      </c>
      <c r="H91" s="154" t="n"/>
      <c r="I91" s="155">
        <f>(G91-E91)/E91</f>
        <v/>
      </c>
    </row>
    <row r="92" customFormat="1" s="156">
      <c r="A92" s="157" t="inlineStr">
        <is>
          <t>Large Storage Drawers (4)</t>
        </is>
      </c>
      <c r="C92" s="158" t="n">
        <v>2351</v>
      </c>
      <c r="D92" s="159" t="n">
        <v>18.2105</v>
      </c>
      <c r="E92" s="159" t="n">
        <v>22.3537</v>
      </c>
      <c r="F92" s="159" t="n">
        <v>25.88477862812154</v>
      </c>
      <c r="G92" s="160" t="n">
        <v>31.06173435374584</v>
      </c>
      <c r="H92" s="159" t="n"/>
      <c r="I92" s="155">
        <f>(G92-E92)/E92</f>
        <v/>
      </c>
    </row>
    <row r="93" customFormat="1" s="156">
      <c r="A93" s="152" t="inlineStr">
        <is>
          <t>Storage Drawers (4)</t>
        </is>
      </c>
      <c r="C93" s="153" t="n">
        <v>2303</v>
      </c>
      <c r="D93" s="154" t="n">
        <v>12.628</v>
      </c>
      <c r="E93" s="154" t="n">
        <v>15.5532</v>
      </c>
      <c r="F93" s="154" t="n">
        <v>18.06420362812154</v>
      </c>
      <c r="G93" s="154" t="n">
        <v>21.67704435374585</v>
      </c>
      <c r="H93" s="154" t="n"/>
      <c r="I93" s="155">
        <f>(G93-E93)/E93</f>
        <v/>
      </c>
    </row>
    <row r="94" customFormat="1" s="156">
      <c r="A94" s="157" t="inlineStr">
        <is>
          <t>Storage Drawer (4) with Compartment</t>
        </is>
      </c>
      <c r="C94" s="158" t="n">
        <v>2307</v>
      </c>
      <c r="D94" s="159" t="n">
        <v>14.63</v>
      </c>
      <c r="E94" s="159" t="n">
        <v>17.992</v>
      </c>
      <c r="F94" s="159" t="n">
        <v>20.86882362812154</v>
      </c>
      <c r="G94" s="160" t="n">
        <v>25.04258835374585</v>
      </c>
      <c r="H94" s="159" t="n"/>
      <c r="I94" s="155">
        <f>(G94-E94)/E94</f>
        <v/>
      </c>
    </row>
    <row r="95" customFormat="1" s="156">
      <c r="A95" s="152" t="inlineStr">
        <is>
          <t>Cup</t>
        </is>
      </c>
      <c r="C95" s="153" t="n">
        <v>1050</v>
      </c>
      <c r="D95" s="154" t="n">
        <v>0.1232</v>
      </c>
      <c r="E95" s="154" t="n">
        <v>0.32008</v>
      </c>
      <c r="F95" s="154" t="n">
        <v>0.5461156281215411</v>
      </c>
      <c r="G95" s="154" t="n">
        <v>0.6553387537458494</v>
      </c>
      <c r="H95" s="154" t="n"/>
      <c r="I95" s="155">
        <f>(G95-E95)/E95</f>
        <v/>
      </c>
    </row>
    <row r="96" customFormat="1" s="156">
      <c r="A96" s="157" t="inlineStr">
        <is>
          <t>Hexagonal Cup x6</t>
        </is>
      </c>
      <c r="C96" s="158" t="n">
        <v>1060</v>
      </c>
      <c r="D96" s="159" t="n">
        <v>0.7314999999999999</v>
      </c>
      <c r="E96" s="159" t="n">
        <v>1.0611</v>
      </c>
      <c r="F96" s="159" t="n">
        <v>1.398288628121541</v>
      </c>
      <c r="G96" s="160" t="n">
        <v>1.677946353745849</v>
      </c>
      <c r="H96" s="159" t="n"/>
      <c r="I96" s="155">
        <f>(G96-E96)/E96</f>
        <v/>
      </c>
    </row>
    <row r="97" customFormat="1" s="156">
      <c r="A97" s="152" t="inlineStr">
        <is>
          <t>Lunch box 1 level</t>
        </is>
      </c>
      <c r="C97" s="153" t="n">
        <v>2175</v>
      </c>
      <c r="D97" s="154" t="n">
        <v>0.2695</v>
      </c>
      <c r="E97" s="154" t="n">
        <v>0.4983</v>
      </c>
      <c r="F97" s="154" t="n">
        <v>0.7510686281215411</v>
      </c>
      <c r="G97" s="154" t="n">
        <v>0.9012823537458493</v>
      </c>
      <c r="H97" s="154" t="n"/>
      <c r="I97" s="155">
        <f>(G97-E97)/E97</f>
        <v/>
      </c>
    </row>
    <row r="98" customFormat="1" s="156">
      <c r="A98" s="157" t="inlineStr">
        <is>
          <t>Lunch box 2 levels</t>
        </is>
      </c>
      <c r="C98" s="158" t="n">
        <v>2176</v>
      </c>
      <c r="D98" s="159" t="n">
        <v>0.4235</v>
      </c>
      <c r="E98" s="159" t="n">
        <v>0.6859000000000001</v>
      </c>
      <c r="F98" s="159" t="n">
        <v>0.9668086281215412</v>
      </c>
      <c r="G98" s="160" t="n">
        <v>1.160170353745849</v>
      </c>
      <c r="H98" s="159" t="n"/>
      <c r="I98" s="155">
        <f>(G98-E98)/E98</f>
        <v/>
      </c>
    </row>
    <row r="99" customFormat="1" s="156">
      <c r="A99" s="152" t="inlineStr">
        <is>
          <t>Lunch box 3 levels</t>
        </is>
      </c>
      <c r="C99" s="153" t="n">
        <v>2177</v>
      </c>
      <c r="D99" s="154" t="n">
        <v>0.5774999999999999</v>
      </c>
      <c r="E99" s="154" t="n">
        <v>0.8734999999999999</v>
      </c>
      <c r="F99" s="154" t="n">
        <v>1.182548628121541</v>
      </c>
      <c r="G99" s="154" t="n">
        <v>1.419058353745849</v>
      </c>
      <c r="H99" s="154" t="n"/>
      <c r="I99" s="155">
        <f>(G99-E99)/E99</f>
        <v/>
      </c>
    </row>
    <row r="100" customFormat="1" s="156">
      <c r="A100" s="157" t="inlineStr">
        <is>
          <t>Lunch box 4 levels</t>
        </is>
      </c>
      <c r="C100" s="158" t="n">
        <v>2178</v>
      </c>
      <c r="D100" s="159" t="n">
        <v>0.7314999999999999</v>
      </c>
      <c r="E100" s="159" t="n">
        <v>1.0611</v>
      </c>
      <c r="F100" s="159" t="n">
        <v>1.398288628121541</v>
      </c>
      <c r="G100" s="160" t="n">
        <v>1.677946353745849</v>
      </c>
      <c r="H100" s="159" t="n"/>
      <c r="I100" s="155">
        <f>(G100-E100)/E100</f>
        <v/>
      </c>
    </row>
    <row r="101" customFormat="1" s="156">
      <c r="A101" s="152" t="inlineStr">
        <is>
          <t>Oval Juicer</t>
        </is>
      </c>
      <c r="C101" s="153" t="n">
        <v>902</v>
      </c>
      <c r="D101" s="154" t="n">
        <v>0.8855</v>
      </c>
      <c r="E101" s="154" t="n">
        <v>1.2487</v>
      </c>
      <c r="F101" s="154" t="n">
        <v>1.614028628121541</v>
      </c>
      <c r="G101" s="154" t="n">
        <v>1.936834353745849</v>
      </c>
      <c r="H101" s="154" t="n"/>
      <c r="I101" s="155">
        <f>(G101-E101)/E101</f>
        <v/>
      </c>
    </row>
    <row r="102" customFormat="1" s="156">
      <c r="A102" s="157" t="inlineStr">
        <is>
          <t>Clothes Drier</t>
        </is>
      </c>
      <c r="C102" s="158" t="n">
        <v>2401</v>
      </c>
      <c r="D102" s="159" t="n">
        <v>12.2815</v>
      </c>
      <c r="E102" s="159" t="n">
        <v>15.1311</v>
      </c>
      <c r="F102" s="159" t="n">
        <v>17.57878862812154</v>
      </c>
      <c r="G102" s="160" t="n">
        <v>21.09454635374585</v>
      </c>
      <c r="H102" s="159" t="n"/>
      <c r="I102" s="155">
        <f>(G102-E102)/E102</f>
        <v/>
      </c>
    </row>
    <row r="103" customFormat="1" s="156">
      <c r="A103" s="152" t="inlineStr">
        <is>
          <t>Round Spice Container 0.8L</t>
        </is>
      </c>
      <c r="C103" s="153" t="n">
        <v>714</v>
      </c>
      <c r="D103" s="154" t="n">
        <v>0.4235</v>
      </c>
      <c r="E103" s="154" t="n">
        <v>0.6859000000000001</v>
      </c>
      <c r="F103" s="154" t="n">
        <v>0.9668086281215412</v>
      </c>
      <c r="G103" s="154" t="n">
        <v>1.160170353745849</v>
      </c>
      <c r="H103" s="154" t="n"/>
      <c r="I103" s="155">
        <f>(G103-E103)/E103</f>
        <v/>
      </c>
    </row>
    <row r="104" customFormat="1" s="156">
      <c r="A104" s="157" t="inlineStr">
        <is>
          <t>Round Spice Container 1.8L</t>
        </is>
      </c>
      <c r="C104" s="158" t="n">
        <v>715</v>
      </c>
      <c r="D104" s="159" t="n">
        <v>1.0395</v>
      </c>
      <c r="E104" s="159" t="n">
        <v>1.4363</v>
      </c>
      <c r="F104" s="159" t="n">
        <v>1.829768628121541</v>
      </c>
      <c r="G104" s="160" t="n">
        <v>2.195722353745849</v>
      </c>
      <c r="H104" s="159" t="n"/>
      <c r="I104" s="155">
        <f>(G104-E104)/E104</f>
        <v/>
      </c>
    </row>
    <row r="105" customFormat="1" s="156">
      <c r="A105" s="152" t="inlineStr">
        <is>
          <t>Square Spice Container 0.4L</t>
        </is>
      </c>
      <c r="C105" s="153" t="n">
        <v>710</v>
      </c>
      <c r="D105" s="154" t="n">
        <v>0.3465</v>
      </c>
      <c r="E105" s="154" t="n">
        <v>0.5921000000000001</v>
      </c>
      <c r="F105" s="154" t="n">
        <v>0.8589386281215412</v>
      </c>
      <c r="G105" s="154" t="n">
        <v>1.03072635374585</v>
      </c>
      <c r="H105" s="154" t="n"/>
      <c r="I105" s="155">
        <f>(G105-E105)/E105</f>
        <v/>
      </c>
    </row>
    <row r="106" customFormat="1" s="156">
      <c r="A106" s="157" t="inlineStr">
        <is>
          <t>Square Spice Container 0.8L</t>
        </is>
      </c>
      <c r="C106" s="158" t="n">
        <v>711</v>
      </c>
      <c r="D106" s="159" t="n">
        <v>0.5004999999999999</v>
      </c>
      <c r="E106" s="159" t="n">
        <v>0.7796999999999999</v>
      </c>
      <c r="F106" s="159" t="n">
        <v>1.074678628121541</v>
      </c>
      <c r="G106" s="160" t="n">
        <v>1.289614353745849</v>
      </c>
      <c r="H106" s="159" t="n"/>
      <c r="I106" s="155">
        <f>(G106-E106)/E106</f>
        <v/>
      </c>
    </row>
    <row r="107" customFormat="1" s="156">
      <c r="A107" s="152" t="inlineStr">
        <is>
          <t>Medium Funnel</t>
        </is>
      </c>
      <c r="C107" s="153" t="n">
        <v>2512</v>
      </c>
      <c r="D107" s="154" t="n">
        <v>0.1309</v>
      </c>
      <c r="E107" s="154" t="n">
        <v>0.32946</v>
      </c>
      <c r="F107" s="154" t="n">
        <v>0.5569026281215411</v>
      </c>
      <c r="G107" s="154" t="n">
        <v>0.6682831537458493</v>
      </c>
      <c r="H107" s="154" t="n"/>
      <c r="I107" s="155">
        <f>(G107-E107)/E107</f>
        <v/>
      </c>
    </row>
    <row r="108" customFormat="1" s="156">
      <c r="A108" s="157" t="inlineStr">
        <is>
          <t>Small Funnel</t>
        </is>
      </c>
      <c r="C108" s="158" t="n">
        <v>2511</v>
      </c>
      <c r="D108" s="159" t="n">
        <v>0.1001</v>
      </c>
      <c r="E108" s="159" t="n">
        <v>0.29194</v>
      </c>
      <c r="F108" s="159" t="n">
        <v>0.5137546281215412</v>
      </c>
      <c r="G108" s="160" t="n">
        <v>0.6165055537458494</v>
      </c>
      <c r="H108" s="159" t="n"/>
      <c r="I108" s="155">
        <f>(G108-E108)/E108</f>
        <v/>
      </c>
    </row>
    <row r="109" ht="28.8" customFormat="1" customHeight="1" s="156">
      <c r="A109" s="152" t="inlineStr">
        <is>
          <t>Small Accessories Drawer (3) with Compartment</t>
        </is>
      </c>
      <c r="C109" s="153" t="n">
        <v>2319</v>
      </c>
      <c r="D109" s="154" t="n">
        <v>1.54</v>
      </c>
      <c r="E109" s="154" t="n">
        <v>2.046</v>
      </c>
      <c r="F109" s="154" t="n">
        <v>2.530923628121541</v>
      </c>
      <c r="G109" s="154" t="n">
        <v>3.03710835374585</v>
      </c>
      <c r="H109" s="154" t="n"/>
      <c r="I109" s="155">
        <f>(G109-E109)/E109</f>
        <v/>
      </c>
    </row>
    <row r="110" ht="28.8" customFormat="1" customHeight="1" s="156">
      <c r="A110" s="157" t="inlineStr">
        <is>
          <t>Small Accessories Drawer (4) with Compartment</t>
        </is>
      </c>
      <c r="C110" s="158" t="n">
        <v>2318</v>
      </c>
      <c r="D110" s="159" t="n">
        <v>1.8865</v>
      </c>
      <c r="E110" s="159" t="n">
        <v>2.4681</v>
      </c>
      <c r="F110" s="159" t="n">
        <v>3.016338628121541</v>
      </c>
      <c r="G110" s="160" t="n">
        <v>3.61960635374585</v>
      </c>
      <c r="H110" s="159" t="n"/>
      <c r="I110" s="155">
        <f>(G110-E110)/E110</f>
        <v/>
      </c>
    </row>
    <row r="111" customFormat="1" s="156">
      <c r="A111" s="152" t="inlineStr">
        <is>
          <t>Small Accessories Drawer (3)</t>
        </is>
      </c>
      <c r="C111" s="153" t="n">
        <v>2321</v>
      </c>
      <c r="D111" s="154" t="n">
        <v>1.0395</v>
      </c>
      <c r="E111" s="154" t="n">
        <v>1.4363</v>
      </c>
      <c r="F111" s="154" t="n">
        <v>1.829768628121541</v>
      </c>
      <c r="G111" s="154" t="n">
        <v>2.195722353745849</v>
      </c>
      <c r="H111" s="154" t="n"/>
      <c r="I111" s="155">
        <f>(G111-E111)/E111</f>
        <v/>
      </c>
    </row>
    <row r="112" customFormat="1" s="156">
      <c r="A112" s="157" t="inlineStr">
        <is>
          <t>Small Accessories Drawer (4)</t>
        </is>
      </c>
      <c r="C112" s="158" t="n">
        <v>2322</v>
      </c>
      <c r="D112" s="159" t="n">
        <v>1.3475</v>
      </c>
      <c r="E112" s="159" t="n">
        <v>1.8115</v>
      </c>
      <c r="F112" s="159" t="n">
        <v>2.261248628121541</v>
      </c>
      <c r="G112" s="160" t="n">
        <v>2.713498353745849</v>
      </c>
      <c r="H112" s="159" t="n"/>
      <c r="I112" s="155">
        <f>(G112-E112)/E112</f>
        <v/>
      </c>
    </row>
    <row r="113" customFormat="1" s="156">
      <c r="A113" s="152" t="inlineStr">
        <is>
          <t>Medium Accessories Drawer (2)</t>
        </is>
      </c>
      <c r="C113" s="153" t="n">
        <v>2327</v>
      </c>
      <c r="D113" s="154" t="n">
        <v>2.387</v>
      </c>
      <c r="E113" s="154" t="n">
        <v>3.0778</v>
      </c>
      <c r="F113" s="154" t="n">
        <v>3.717493628121541</v>
      </c>
      <c r="G113" s="154" t="n">
        <v>4.46099235374585</v>
      </c>
      <c r="H113" s="154" t="n"/>
      <c r="I113" s="155">
        <f>(G113-E113)/E113</f>
        <v/>
      </c>
    </row>
    <row r="114" customFormat="1" s="156">
      <c r="A114" s="157" t="inlineStr">
        <is>
          <t>Medium Accessories Drawer (3)</t>
        </is>
      </c>
      <c r="C114" s="158" t="n">
        <v>2324</v>
      </c>
      <c r="D114" s="159" t="n">
        <v>3.3495</v>
      </c>
      <c r="E114" s="159" t="n">
        <v>4.2503</v>
      </c>
      <c r="F114" s="159" t="n">
        <v>5.065868628121541</v>
      </c>
      <c r="G114" s="160" t="n">
        <v>6.079042353745849</v>
      </c>
      <c r="H114" s="159" t="n"/>
      <c r="I114" s="155">
        <f>(G114-E114)/E114</f>
        <v/>
      </c>
    </row>
    <row r="115" customFormat="1" s="156">
      <c r="A115" s="152" t="inlineStr">
        <is>
          <t>Medium Accessories Drawer (4)</t>
        </is>
      </c>
      <c r="C115" s="153" t="n">
        <v>2325</v>
      </c>
      <c r="D115" s="154" t="n">
        <v>4.311999999999999</v>
      </c>
      <c r="E115" s="154" t="n">
        <v>5.422799999999999</v>
      </c>
      <c r="F115" s="154" t="n">
        <v>6.41424362812154</v>
      </c>
      <c r="G115" s="154" t="n">
        <v>7.697092353745847</v>
      </c>
      <c r="H115" s="154" t="n"/>
      <c r="I115" s="155">
        <f>(G115-E115)/E115</f>
        <v/>
      </c>
    </row>
    <row r="116" ht="29.4" customFormat="1" customHeight="1" s="156">
      <c r="A116" s="157" t="inlineStr">
        <is>
          <t>Transparent Medium Accessories Drawer (2)</t>
        </is>
      </c>
      <c r="C116" s="158" t="n">
        <v>2337</v>
      </c>
      <c r="D116" s="159" t="n">
        <v>2.387</v>
      </c>
      <c r="E116" s="159" t="n">
        <v>3.0778</v>
      </c>
      <c r="F116" s="159" t="n">
        <v>3.717493628121541</v>
      </c>
      <c r="G116" s="160" t="n">
        <v>4.46099235374585</v>
      </c>
      <c r="H116" s="159" t="n"/>
      <c r="I116" s="155">
        <f>(G116-E116)/E116</f>
        <v/>
      </c>
    </row>
    <row r="117" ht="28.2" customFormat="1" customHeight="1" s="156">
      <c r="A117" s="152" t="inlineStr">
        <is>
          <t>Transparent Medium Accessories Drawer (3)</t>
        </is>
      </c>
      <c r="C117" s="153" t="n">
        <v>2334</v>
      </c>
      <c r="D117" s="154" t="n">
        <v>3.3495</v>
      </c>
      <c r="E117" s="154" t="n">
        <v>4.2503</v>
      </c>
      <c r="F117" s="154" t="n">
        <v>5.065868628121541</v>
      </c>
      <c r="G117" s="154" t="n">
        <v>6.079042353745849</v>
      </c>
      <c r="H117" s="154" t="n"/>
      <c r="I117" s="155">
        <f>(G117-E117)/E117</f>
        <v/>
      </c>
    </row>
    <row r="118" ht="31.2" customFormat="1" customHeight="1" s="156">
      <c r="A118" s="157" t="inlineStr">
        <is>
          <t>Transparent Medium Accessories Drawer (4)</t>
        </is>
      </c>
      <c r="C118" s="158" t="n">
        <v>2335</v>
      </c>
      <c r="D118" s="159" t="n">
        <v>4.311999999999999</v>
      </c>
      <c r="E118" s="159" t="n">
        <v>5.422799999999999</v>
      </c>
      <c r="F118" s="159" t="n">
        <v>6.41424362812154</v>
      </c>
      <c r="G118" s="160" t="n">
        <v>7.697092353745847</v>
      </c>
      <c r="H118" s="159" t="n"/>
      <c r="I118" s="155">
        <f>(G118-E118)/E118</f>
        <v/>
      </c>
    </row>
    <row r="119" customFormat="1" s="156">
      <c r="A119" s="152" t="inlineStr">
        <is>
          <t>Small Jar with lid</t>
        </is>
      </c>
      <c r="C119" s="153" t="n">
        <v>1051</v>
      </c>
      <c r="D119" s="154" t="n">
        <v>0.5004999999999999</v>
      </c>
      <c r="E119" s="154" t="n">
        <v>0.7796999999999999</v>
      </c>
      <c r="F119" s="154" t="n">
        <v>1.074678628121541</v>
      </c>
      <c r="G119" s="154" t="n">
        <v>1.289614353745849</v>
      </c>
      <c r="H119" s="154" t="n"/>
      <c r="I119" s="155">
        <f>(G119-E119)/E119</f>
        <v/>
      </c>
    </row>
    <row r="120" customFormat="1" s="156">
      <c r="A120" s="157" t="inlineStr">
        <is>
          <t>Small Jar with lid and Cup</t>
        </is>
      </c>
      <c r="C120" s="158" t="n">
        <v>1053</v>
      </c>
      <c r="D120" s="159" t="n">
        <v>0.616</v>
      </c>
      <c r="E120" s="159" t="n">
        <v>0.9204</v>
      </c>
      <c r="F120" s="159" t="n">
        <v>1.236483628121541</v>
      </c>
      <c r="G120" s="160" t="n">
        <v>1.483780353745849</v>
      </c>
      <c r="H120" s="159" t="n"/>
      <c r="I120" s="155">
        <f>(G120-E120)/E120</f>
        <v/>
      </c>
    </row>
    <row r="121" customFormat="1" s="156">
      <c r="A121" s="152" t="inlineStr">
        <is>
          <t>Large Jar with lid</t>
        </is>
      </c>
      <c r="C121" s="153" t="n">
        <v>1052</v>
      </c>
      <c r="D121" s="154" t="n">
        <v>0.8085</v>
      </c>
      <c r="E121" s="154" t="n">
        <v>1.1549</v>
      </c>
      <c r="F121" s="154" t="n">
        <v>1.506158628121541</v>
      </c>
      <c r="G121" s="154" t="n">
        <v>1.807390353745849</v>
      </c>
      <c r="H121" s="154" t="n"/>
      <c r="I121" s="155">
        <f>(G121-E121)/E121</f>
        <v/>
      </c>
    </row>
    <row r="122" customFormat="1" s="156">
      <c r="A122" s="157" t="inlineStr">
        <is>
          <t>Large Jar with lid and 4 cups</t>
        </is>
      </c>
      <c r="C122" s="158" t="n">
        <v>1054</v>
      </c>
      <c r="D122" s="159" t="n">
        <v>1.232</v>
      </c>
      <c r="E122" s="159" t="n">
        <v>1.6708</v>
      </c>
      <c r="F122" s="159" t="n">
        <v>2.099443628121541</v>
      </c>
      <c r="G122" s="160" t="n">
        <v>2.519332353745849</v>
      </c>
      <c r="H122" s="159" t="n"/>
      <c r="I122" s="155">
        <f>(G122-E122)/E122</f>
        <v/>
      </c>
    </row>
    <row r="123" customFormat="1" s="156">
      <c r="A123" s="152" t="inlineStr">
        <is>
          <t>13.5L Rectangular Food Container</t>
        </is>
      </c>
      <c r="C123" s="153" t="n">
        <v>1318</v>
      </c>
      <c r="D123" s="154" t="n">
        <v>2.233</v>
      </c>
      <c r="E123" s="154" t="n">
        <v>2.8902</v>
      </c>
      <c r="F123" s="154" t="n">
        <v>3.501753628121541</v>
      </c>
      <c r="G123" s="154" t="n">
        <v>4.20210435374585</v>
      </c>
      <c r="H123" s="154" t="n"/>
      <c r="I123" s="155">
        <f>(G123-E123)/E123</f>
        <v/>
      </c>
    </row>
    <row r="124" customFormat="1" s="156">
      <c r="A124" s="157" t="inlineStr">
        <is>
          <t>2L Rectangular Food Container</t>
        </is>
      </c>
      <c r="C124" s="158" t="n">
        <v>1304</v>
      </c>
      <c r="D124" s="159" t="n">
        <v>0.5774999999999999</v>
      </c>
      <c r="E124" s="159" t="n">
        <v>0.8734999999999999</v>
      </c>
      <c r="F124" s="159" t="n">
        <v>1.182548628121541</v>
      </c>
      <c r="G124" s="160" t="n">
        <v>1.419058353745849</v>
      </c>
      <c r="H124" s="159" t="n"/>
      <c r="I124" s="155">
        <f>(G124-E124)/E124</f>
        <v/>
      </c>
    </row>
    <row r="125" customFormat="1" s="156">
      <c r="A125" s="152" t="inlineStr">
        <is>
          <t>4L Rectangular Food Container</t>
        </is>
      </c>
      <c r="C125" s="153" t="n">
        <v>1308</v>
      </c>
      <c r="D125" s="154" t="n">
        <v>0.8470000000000001</v>
      </c>
      <c r="E125" s="154" t="n">
        <v>1.2018</v>
      </c>
      <c r="F125" s="154" t="n">
        <v>1.560093628121541</v>
      </c>
      <c r="G125" s="154" t="n">
        <v>1.87211235374585</v>
      </c>
      <c r="H125" s="154" t="n"/>
      <c r="I125" s="155">
        <f>(G125-E125)/E125</f>
        <v/>
      </c>
    </row>
    <row r="126" customFormat="1" s="156">
      <c r="A126" s="157" t="inlineStr">
        <is>
          <t>6L Rectangular Food Container</t>
        </is>
      </c>
      <c r="C126" s="158" t="n">
        <v>1309</v>
      </c>
      <c r="D126" s="159" t="n">
        <v>1.2705</v>
      </c>
      <c r="E126" s="159" t="n">
        <v>1.7177</v>
      </c>
      <c r="F126" s="159" t="n">
        <v>2.153378628121541</v>
      </c>
      <c r="G126" s="160" t="n">
        <v>2.584054353745849</v>
      </c>
      <c r="H126" s="159" t="n"/>
      <c r="I126" s="155">
        <f>(G126-E126)/E126</f>
        <v/>
      </c>
    </row>
    <row r="127" customFormat="1" s="156">
      <c r="A127" s="152" t="inlineStr">
        <is>
          <t>8L Rectangular Food Container</t>
        </is>
      </c>
      <c r="C127" s="153" t="n">
        <v>1310</v>
      </c>
      <c r="D127" s="154" t="n">
        <v>1.6555</v>
      </c>
      <c r="E127" s="154" t="n">
        <v>2.1867</v>
      </c>
      <c r="F127" s="154" t="n">
        <v>2.692728628121541</v>
      </c>
      <c r="G127" s="154" t="n">
        <v>3.231274353745849</v>
      </c>
      <c r="H127" s="154" t="n"/>
      <c r="I127" s="155">
        <f>(G127-E127)/E127</f>
        <v/>
      </c>
    </row>
    <row r="128" customFormat="1" s="156">
      <c r="A128" s="157" t="inlineStr">
        <is>
          <t>1L Round Food Container</t>
        </is>
      </c>
      <c r="C128" s="158" t="n">
        <v>1320</v>
      </c>
      <c r="D128" s="159" t="n">
        <v>0.3465</v>
      </c>
      <c r="E128" s="159" t="n">
        <v>0.5921000000000001</v>
      </c>
      <c r="F128" s="159" t="n">
        <v>0.8589386281215412</v>
      </c>
      <c r="G128" s="160" t="n">
        <v>1.03072635374585</v>
      </c>
      <c r="H128" s="159" t="n"/>
      <c r="I128" s="155">
        <f>(G128-E128)/E128</f>
        <v/>
      </c>
    </row>
    <row r="129" customFormat="1" s="156">
      <c r="A129" s="152" t="inlineStr">
        <is>
          <t>2L Round Food Container</t>
        </is>
      </c>
      <c r="C129" s="153" t="n">
        <v>1321</v>
      </c>
      <c r="D129" s="154" t="n">
        <v>0.4235</v>
      </c>
      <c r="E129" s="154" t="n">
        <v>0.6859000000000001</v>
      </c>
      <c r="F129" s="154" t="n">
        <v>0.9668086281215412</v>
      </c>
      <c r="G129" s="154" t="n">
        <v>1.160170353745849</v>
      </c>
      <c r="H129" s="154" t="n"/>
      <c r="I129" s="155">
        <f>(G129-E129)/E129</f>
        <v/>
      </c>
    </row>
    <row r="130" customFormat="1" s="156">
      <c r="A130" s="157" t="inlineStr">
        <is>
          <t>3L Round Food Container</t>
        </is>
      </c>
      <c r="C130" s="158" t="n">
        <v>1322</v>
      </c>
      <c r="D130" s="159" t="n">
        <v>0.6545</v>
      </c>
      <c r="E130" s="159" t="n">
        <v>0.9672999999999999</v>
      </c>
      <c r="F130" s="159" t="n">
        <v>1.290418628121541</v>
      </c>
      <c r="G130" s="160" t="n">
        <v>1.548502353745849</v>
      </c>
      <c r="H130" s="159" t="n"/>
      <c r="I130" s="155">
        <f>(G130-E130)/E130</f>
        <v/>
      </c>
    </row>
    <row r="131" customFormat="1" s="156">
      <c r="A131" s="152" t="inlineStr">
        <is>
          <t>5L Round Food Container</t>
        </is>
      </c>
      <c r="C131" s="153" t="n">
        <v>1323</v>
      </c>
      <c r="D131" s="154" t="n">
        <v>0.8085</v>
      </c>
      <c r="E131" s="154" t="n">
        <v>1.1549</v>
      </c>
      <c r="F131" s="154" t="n">
        <v>1.506158628121541</v>
      </c>
      <c r="G131" s="154" t="n">
        <v>1.807390353745849</v>
      </c>
      <c r="H131" s="154" t="n"/>
      <c r="I131" s="155">
        <f>(G131-E131)/E131</f>
        <v/>
      </c>
    </row>
    <row r="132" customFormat="1" s="156">
      <c r="A132" s="157" t="inlineStr">
        <is>
          <t>8L Round Food Container</t>
        </is>
      </c>
      <c r="C132" s="158" t="n">
        <v>1315</v>
      </c>
      <c r="D132" s="159" t="n">
        <v>1.1165</v>
      </c>
      <c r="E132" s="159" t="n">
        <v>1.5301</v>
      </c>
      <c r="F132" s="159" t="n">
        <v>1.937638628121541</v>
      </c>
      <c r="G132" s="160" t="n">
        <v>2.325166353745849</v>
      </c>
      <c r="H132" s="159" t="n"/>
      <c r="I132" s="155">
        <f>(G132-E132)/E132</f>
        <v/>
      </c>
    </row>
    <row r="133" customFormat="1" s="156">
      <c r="A133" s="152" t="inlineStr">
        <is>
          <t>Coffee Table</t>
        </is>
      </c>
      <c r="C133" s="153" t="n">
        <v>1603</v>
      </c>
      <c r="D133" s="154" t="n">
        <v>3.773000000000001</v>
      </c>
      <c r="E133" s="154" t="n">
        <v>4.7662</v>
      </c>
      <c r="F133" s="154" t="n">
        <v>5.659153628121541</v>
      </c>
      <c r="G133" s="154" t="n">
        <v>6.790984353745849</v>
      </c>
      <c r="H133" s="154" t="n"/>
      <c r="I133" s="155">
        <f>(G133-E133)/E133</f>
        <v/>
      </c>
    </row>
    <row r="134" customFormat="1" s="156">
      <c r="A134" s="157" t="inlineStr">
        <is>
          <t>Children's Table</t>
        </is>
      </c>
      <c r="C134" s="158" t="n">
        <v>1421</v>
      </c>
      <c r="D134" s="159" t="n">
        <v>5.467000000000001</v>
      </c>
      <c r="E134" s="159" t="n">
        <v>6.829800000000001</v>
      </c>
      <c r="F134" s="159" t="n">
        <v>8.032293628121542</v>
      </c>
      <c r="G134" s="160" t="n">
        <v>9.638752353745851</v>
      </c>
      <c r="H134" s="159" t="n"/>
      <c r="I134" s="155">
        <f>(G134-E134)/E134</f>
        <v/>
      </c>
    </row>
    <row r="135" customFormat="1" s="156">
      <c r="A135" s="152" t="inlineStr">
        <is>
          <t>80cm Square Table</t>
        </is>
      </c>
      <c r="C135" s="153" t="n">
        <v>1605</v>
      </c>
      <c r="D135" s="154" t="n">
        <v>12.3585</v>
      </c>
      <c r="E135" s="154" t="n">
        <v>15.2249</v>
      </c>
      <c r="F135" s="154" t="n">
        <v>17.68665862812154</v>
      </c>
      <c r="G135" s="154" t="n">
        <v>21.22399035374585</v>
      </c>
      <c r="H135" s="154" t="n"/>
      <c r="I135" s="155">
        <f>(G135-E135)/E135</f>
        <v/>
      </c>
    </row>
    <row r="136" customFormat="1" s="156">
      <c r="A136" s="157" t="inlineStr">
        <is>
          <t>90cm Round Table</t>
        </is>
      </c>
      <c r="C136" s="158" t="n">
        <v>1604</v>
      </c>
      <c r="D136" s="159" t="n">
        <v>12.1275</v>
      </c>
      <c r="E136" s="159" t="n">
        <v>14.9435</v>
      </c>
      <c r="F136" s="159" t="n">
        <v>17.36304862812154</v>
      </c>
      <c r="G136" s="160" t="n">
        <v>20.83565835374585</v>
      </c>
      <c r="H136" s="159" t="n"/>
      <c r="I136" s="155">
        <f>(G136-E136)/E136</f>
        <v/>
      </c>
    </row>
    <row r="137" customFormat="1" s="156">
      <c r="A137" s="152" t="inlineStr">
        <is>
          <t>Dust Pan</t>
        </is>
      </c>
      <c r="C137" s="153" t="n">
        <v>2501</v>
      </c>
      <c r="D137" s="154" t="n">
        <v>0.924</v>
      </c>
      <c r="E137" s="154" t="n">
        <v>1.2956</v>
      </c>
      <c r="F137" s="154" t="n">
        <v>1.667963628121541</v>
      </c>
      <c r="G137" s="154" t="n">
        <v>2.001556353745849</v>
      </c>
      <c r="H137" s="154" t="n"/>
      <c r="I137" s="155">
        <f>(G137-E137)/E137</f>
        <v/>
      </c>
    </row>
    <row r="138" customFormat="1" s="156">
      <c r="A138" s="157" t="inlineStr">
        <is>
          <t>Cutlery Drainer</t>
        </is>
      </c>
      <c r="C138" s="158" t="n">
        <v>820</v>
      </c>
      <c r="D138" s="159" t="n">
        <v>1.0395</v>
      </c>
      <c r="E138" s="159" t="n">
        <v>1.4363</v>
      </c>
      <c r="F138" s="159" t="n">
        <v>1.829768628121541</v>
      </c>
      <c r="G138" s="160" t="n">
        <v>2.195722353745849</v>
      </c>
      <c r="H138" s="159" t="n"/>
      <c r="I138" s="155">
        <f>(G138-E138)/E138</f>
        <v/>
      </c>
    </row>
    <row r="139" customFormat="1" s="156">
      <c r="A139" s="152" t="inlineStr">
        <is>
          <t>Cutlery Drawer</t>
        </is>
      </c>
      <c r="C139" s="153" t="n">
        <v>2202</v>
      </c>
      <c r="D139" s="154" t="n">
        <v>0.77</v>
      </c>
      <c r="E139" s="154" t="n">
        <v>1.108</v>
      </c>
      <c r="F139" s="154" t="n">
        <v>1.452223628121541</v>
      </c>
      <c r="G139" s="154" t="n">
        <v>1.74266835374585</v>
      </c>
      <c r="H139" s="154" t="n"/>
      <c r="I139" s="155">
        <f>(G139-E139)/E139</f>
        <v/>
      </c>
    </row>
    <row r="140" customFormat="1" s="156">
      <c r="A140" s="157" t="inlineStr">
        <is>
          <t>Bathroom Cabinet</t>
        </is>
      </c>
      <c r="C140" s="158" t="n">
        <v>731</v>
      </c>
      <c r="D140" s="159" t="n">
        <v>4.235</v>
      </c>
      <c r="E140" s="159" t="n">
        <v>5.329000000000001</v>
      </c>
      <c r="F140" s="159" t="n">
        <v>6.306373628121541</v>
      </c>
      <c r="G140" s="160" t="n">
        <v>7.56764835374585</v>
      </c>
      <c r="H140" s="159" t="n"/>
      <c r="I140" s="155">
        <f>(G140-E140)/E140</f>
        <v/>
      </c>
    </row>
    <row r="141" customFormat="1" s="156">
      <c r="A141" s="152" t="inlineStr">
        <is>
          <t>21cm Round Plate</t>
        </is>
      </c>
      <c r="C141" s="153" t="n">
        <v>4001</v>
      </c>
      <c r="D141" s="154" t="n">
        <v>0.1925</v>
      </c>
      <c r="E141" s="154" t="n">
        <v>0.4045</v>
      </c>
      <c r="F141" s="154" t="n">
        <v>0.6431986281215412</v>
      </c>
      <c r="G141" s="154" t="n">
        <v>0.7718383537458494</v>
      </c>
      <c r="H141" s="154" t="n"/>
      <c r="I141" s="155">
        <f>(G141-E141)/E141</f>
        <v/>
      </c>
    </row>
    <row r="142" customFormat="1" s="156">
      <c r="A142" s="157" t="inlineStr">
        <is>
          <t>24cm Round Plate</t>
        </is>
      </c>
      <c r="C142" s="158" t="n">
        <v>4002</v>
      </c>
      <c r="D142" s="159" t="n">
        <v>0.231</v>
      </c>
      <c r="E142" s="159" t="n">
        <v>0.4514</v>
      </c>
      <c r="F142" s="159" t="n">
        <v>0.6971336281215412</v>
      </c>
      <c r="G142" s="160" t="n">
        <v>0.8365603537458495</v>
      </c>
      <c r="H142" s="159" t="n"/>
      <c r="I142" s="155">
        <f>(G142-E142)/E142</f>
        <v/>
      </c>
    </row>
    <row r="143" customFormat="1" s="156">
      <c r="A143" s="152" t="inlineStr">
        <is>
          <t>18cm Oval Plate</t>
        </is>
      </c>
      <c r="C143" s="153" t="n"/>
      <c r="D143" s="154" t="n">
        <v>0.1155</v>
      </c>
      <c r="E143" s="154" t="n">
        <v>0.3107</v>
      </c>
      <c r="F143" s="154" t="n">
        <v>0.5353286281215411</v>
      </c>
      <c r="G143" s="154" t="n">
        <v>0.6423943537458494</v>
      </c>
      <c r="H143" s="154" t="n"/>
      <c r="I143" s="155">
        <f>(G143-E143)/E143</f>
        <v/>
      </c>
    </row>
    <row r="144" customFormat="1" s="156">
      <c r="A144" s="157" t="inlineStr">
        <is>
          <t>24cm Oval Plate</t>
        </is>
      </c>
      <c r="C144" s="158" t="n"/>
      <c r="D144" s="159" t="n">
        <v>0.154</v>
      </c>
      <c r="E144" s="159" t="n">
        <v>0.3576</v>
      </c>
      <c r="F144" s="159" t="n">
        <v>0.5892636281215412</v>
      </c>
      <c r="G144" s="160" t="n">
        <v>0.7071163537458495</v>
      </c>
      <c r="H144" s="159" t="n"/>
      <c r="I144" s="155">
        <f>(G144-E144)/E144</f>
        <v/>
      </c>
    </row>
    <row r="145" customFormat="1" s="156">
      <c r="A145" s="152" t="inlineStr">
        <is>
          <t>29cm Oval Plate</t>
        </is>
      </c>
      <c r="C145" s="153" t="n"/>
      <c r="D145" s="154" t="n">
        <v>0.2695</v>
      </c>
      <c r="E145" s="154" t="n">
        <v>0.4983</v>
      </c>
      <c r="F145" s="154" t="n">
        <v>0.7510686281215411</v>
      </c>
      <c r="G145" s="154" t="n">
        <v>0.9012823537458493</v>
      </c>
      <c r="H145" s="154" t="n"/>
      <c r="I145" s="155">
        <f>(G145-E145)/E145</f>
        <v/>
      </c>
    </row>
    <row r="146" customFormat="1" s="156">
      <c r="A146" s="157" t="inlineStr">
        <is>
          <t>Divided Plate</t>
        </is>
      </c>
      <c r="C146" s="158" t="n">
        <v>1207</v>
      </c>
      <c r="D146" s="159" t="n">
        <v>0.6930000000000001</v>
      </c>
      <c r="E146" s="159" t="n">
        <v>1.0142</v>
      </c>
      <c r="F146" s="159" t="n">
        <v>1.344353628121541</v>
      </c>
      <c r="G146" s="160" t="n">
        <v>1.61322435374585</v>
      </c>
      <c r="H146" s="159" t="n"/>
      <c r="I146" s="155">
        <f>(G146-E146)/E146</f>
        <v/>
      </c>
    </row>
    <row r="147" customFormat="1" s="156">
      <c r="A147" s="152" t="inlineStr">
        <is>
          <t>1.25 Oval Food Container</t>
        </is>
      </c>
      <c r="C147" s="153" t="n">
        <v>1312</v>
      </c>
      <c r="D147" s="154" t="n">
        <v>0.3465</v>
      </c>
      <c r="E147" s="154" t="n">
        <v>0.5921000000000001</v>
      </c>
      <c r="F147" s="154" t="n">
        <v>0.8589386281215412</v>
      </c>
      <c r="G147" s="154" t="n">
        <v>1.03072635374585</v>
      </c>
      <c r="H147" s="154" t="n"/>
      <c r="I147" s="155">
        <f>(G147-E147)/E147</f>
        <v/>
      </c>
    </row>
    <row r="148" customFormat="1" s="156">
      <c r="A148" s="157" t="inlineStr">
        <is>
          <t>1.75L Oval Food Container</t>
        </is>
      </c>
      <c r="C148" s="158" t="n">
        <v>1313</v>
      </c>
      <c r="D148" s="159" t="n">
        <v>0.5004999999999999</v>
      </c>
      <c r="E148" s="159" t="n">
        <v>0.7796999999999999</v>
      </c>
      <c r="F148" s="159" t="n">
        <v>1.074678628121541</v>
      </c>
      <c r="G148" s="160" t="n">
        <v>1.289614353745849</v>
      </c>
      <c r="H148" s="159" t="n"/>
      <c r="I148" s="155">
        <f>(G148-E148)/E148</f>
        <v/>
      </c>
    </row>
    <row r="149" customFormat="1" s="156">
      <c r="A149" s="152" t="inlineStr">
        <is>
          <t>2.5L Oval Food Container</t>
        </is>
      </c>
      <c r="C149" s="153" t="n">
        <v>1341</v>
      </c>
      <c r="D149" s="154" t="n">
        <v>0.5389999999999999</v>
      </c>
      <c r="E149" s="154" t="n">
        <v>0.8265999999999999</v>
      </c>
      <c r="F149" s="154" t="n">
        <v>1.128613628121541</v>
      </c>
      <c r="G149" s="154" t="n">
        <v>1.354336353745849</v>
      </c>
      <c r="H149" s="154" t="n"/>
      <c r="I149" s="155">
        <f>(G149-E149)/E149</f>
        <v/>
      </c>
    </row>
    <row r="150" customFormat="1" s="156">
      <c r="A150" s="157" t="inlineStr">
        <is>
          <t>3.5L Oval Food Container</t>
        </is>
      </c>
      <c r="C150" s="158" t="n">
        <v>1316</v>
      </c>
      <c r="D150" s="159" t="n">
        <v>0.616</v>
      </c>
      <c r="E150" s="159" t="n">
        <v>0.9204</v>
      </c>
      <c r="F150" s="159" t="n">
        <v>1.236483628121541</v>
      </c>
      <c r="G150" s="160" t="n">
        <v>1.483780353745849</v>
      </c>
      <c r="H150" s="159" t="n"/>
      <c r="I150" s="155">
        <f>(G150-E150)/E150</f>
        <v/>
      </c>
    </row>
    <row r="151" customFormat="1" s="156">
      <c r="A151" s="152" t="inlineStr">
        <is>
          <t>4.5L Oval Food Container</t>
        </is>
      </c>
      <c r="C151" s="153" t="n">
        <v>1342</v>
      </c>
      <c r="D151" s="154" t="n">
        <v>0.77</v>
      </c>
      <c r="E151" s="154" t="n">
        <v>1.108</v>
      </c>
      <c r="F151" s="154" t="n">
        <v>1.452223628121541</v>
      </c>
      <c r="G151" s="154" t="n">
        <v>1.74266835374585</v>
      </c>
      <c r="H151" s="154" t="n"/>
      <c r="I151" s="155">
        <f>(G151-E151)/E151</f>
        <v/>
      </c>
    </row>
    <row r="152" customFormat="1" s="156">
      <c r="A152" s="157" t="inlineStr">
        <is>
          <t>5.5L Oval Food Container</t>
        </is>
      </c>
      <c r="C152" s="158" t="n">
        <v>1314</v>
      </c>
      <c r="D152" s="159" t="n">
        <v>1.0395</v>
      </c>
      <c r="E152" s="159" t="n">
        <v>1.4363</v>
      </c>
      <c r="F152" s="159" t="n">
        <v>1.829768628121541</v>
      </c>
      <c r="G152" s="160" t="n">
        <v>2.195722353745849</v>
      </c>
      <c r="H152" s="159" t="n"/>
      <c r="I152" s="155">
        <f>(G152-E152)/E152</f>
        <v/>
      </c>
    </row>
    <row r="153" customFormat="1" s="156">
      <c r="A153" s="152" t="inlineStr">
        <is>
          <t>Small Salad Bowl</t>
        </is>
      </c>
      <c r="C153" s="153" t="n">
        <v>1208</v>
      </c>
      <c r="D153" s="154" t="n">
        <v>0.1155</v>
      </c>
      <c r="E153" s="154" t="n">
        <v>0.3107</v>
      </c>
      <c r="F153" s="154" t="n">
        <v>0.5353286281215411</v>
      </c>
      <c r="G153" s="154" t="n">
        <v>0.6423943537458494</v>
      </c>
      <c r="H153" s="154" t="n"/>
      <c r="I153" s="155">
        <f>(G153-E153)/E153</f>
        <v/>
      </c>
    </row>
    <row r="154" customFormat="1" s="156">
      <c r="A154" s="157" t="inlineStr">
        <is>
          <t>Medium Salad Bowl</t>
        </is>
      </c>
      <c r="C154" s="158" t="n">
        <v>1209</v>
      </c>
      <c r="D154" s="159" t="n">
        <v>0.308</v>
      </c>
      <c r="E154" s="159" t="n">
        <v>0.5452</v>
      </c>
      <c r="F154" s="159" t="n">
        <v>0.8050036281215411</v>
      </c>
      <c r="G154" s="160" t="n">
        <v>0.9660043537458494</v>
      </c>
      <c r="H154" s="159" t="n"/>
      <c r="I154" s="155">
        <f>(G154-E154)/E154</f>
        <v/>
      </c>
    </row>
    <row r="155" customFormat="1" s="156">
      <c r="A155" s="152" t="inlineStr">
        <is>
          <t>Large Salad Bowl</t>
        </is>
      </c>
      <c r="C155" s="153" t="n">
        <v>1210</v>
      </c>
      <c r="D155" s="154" t="n">
        <v>0.8085</v>
      </c>
      <c r="E155" s="154" t="n">
        <v>1.1549</v>
      </c>
      <c r="F155" s="154" t="n">
        <v>1.506158628121541</v>
      </c>
      <c r="G155" s="154" t="n">
        <v>1.807390353745849</v>
      </c>
      <c r="H155" s="154" t="n"/>
      <c r="I155" s="155">
        <f>(G155-E155)/E155</f>
        <v/>
      </c>
    </row>
    <row r="156" customFormat="1" s="156">
      <c r="A156" s="157" t="inlineStr">
        <is>
          <t>Shoe Rack Single</t>
        </is>
      </c>
      <c r="C156" s="158" t="n">
        <v>2764</v>
      </c>
      <c r="D156" s="159" t="n">
        <v>5.1975</v>
      </c>
      <c r="E156" s="159" t="n">
        <v>6.5015</v>
      </c>
      <c r="F156" s="159" t="n">
        <v>7.65474862812154</v>
      </c>
      <c r="G156" s="160" t="n">
        <v>9.185698353745849</v>
      </c>
      <c r="H156" s="159" t="n"/>
      <c r="I156" s="155">
        <f>(G156-E156)/E156</f>
        <v/>
      </c>
    </row>
    <row r="157" customFormat="1" s="156">
      <c r="A157" s="152" t="inlineStr">
        <is>
          <t>Shoe Rack Double</t>
        </is>
      </c>
      <c r="C157" s="153" t="n">
        <v>2763</v>
      </c>
      <c r="D157" s="154" t="n">
        <v>8.701000000000001</v>
      </c>
      <c r="E157" s="154" t="n">
        <v>10.7694</v>
      </c>
      <c r="F157" s="154" t="n">
        <v>12.56283362812154</v>
      </c>
      <c r="G157" s="154" t="n">
        <v>15.07540035374585</v>
      </c>
      <c r="H157" s="154" t="n"/>
      <c r="I157" s="155">
        <f>(G157-E157)/E157</f>
        <v/>
      </c>
    </row>
    <row r="158" customFormat="1" s="156">
      <c r="A158" s="157" t="inlineStr">
        <is>
          <t>Dish Drainer</t>
        </is>
      </c>
      <c r="C158" s="158" t="n">
        <v>801</v>
      </c>
      <c r="D158" s="159" t="n">
        <v>2.7335</v>
      </c>
      <c r="E158" s="159" t="n">
        <v>3.4999</v>
      </c>
      <c r="F158" s="159" t="n">
        <v>4.202908628121541</v>
      </c>
      <c r="G158" s="160" t="n">
        <v>5.04349035374585</v>
      </c>
      <c r="H158" s="159" t="n"/>
      <c r="I158" s="155">
        <f>(G158-E158)/E158</f>
        <v/>
      </c>
    </row>
    <row r="159" customFormat="1" s="156">
      <c r="A159" s="152" t="inlineStr">
        <is>
          <t>Dish Drainer 1 level</t>
        </is>
      </c>
      <c r="C159" s="153" t="n">
        <v>802</v>
      </c>
      <c r="D159" s="154" t="n">
        <v>2.926</v>
      </c>
      <c r="E159" s="154" t="n">
        <v>3.734399999999999</v>
      </c>
      <c r="F159" s="154" t="n">
        <v>4.472583628121541</v>
      </c>
      <c r="G159" s="154" t="n">
        <v>5.367100353745849</v>
      </c>
      <c r="H159" s="154" t="n"/>
      <c r="I159" s="155">
        <f>(G159-E159)/E159</f>
        <v/>
      </c>
    </row>
    <row r="160" customFormat="1" s="156">
      <c r="A160" s="157" t="inlineStr">
        <is>
          <t>Dish Drainer 2 levels</t>
        </is>
      </c>
      <c r="C160" s="158" t="n">
        <v>803</v>
      </c>
      <c r="D160" s="159" t="n">
        <v>5.5825</v>
      </c>
      <c r="E160" s="159" t="n">
        <v>6.970499999999999</v>
      </c>
      <c r="F160" s="159" t="n">
        <v>8.194098628121541</v>
      </c>
      <c r="G160" s="160" t="n">
        <v>9.83291835374585</v>
      </c>
      <c r="H160" s="159" t="n"/>
      <c r="I160" s="155">
        <f>(G160-E160)/E160</f>
        <v/>
      </c>
    </row>
    <row r="161" customFormat="1" s="156">
      <c r="A161" s="152" t="inlineStr">
        <is>
          <t>1L Oval Bowl</t>
        </is>
      </c>
      <c r="C161" s="153" t="n">
        <v>621</v>
      </c>
      <c r="D161" s="154" t="n">
        <v>0.154</v>
      </c>
      <c r="E161" s="154" t="n">
        <v>0.3576</v>
      </c>
      <c r="F161" s="154" t="n">
        <v>0.5892636281215412</v>
      </c>
      <c r="G161" s="154" t="n">
        <v>0.7071163537458495</v>
      </c>
      <c r="H161" s="154" t="n"/>
      <c r="I161" s="155">
        <f>(G161-E161)/E161</f>
        <v/>
      </c>
    </row>
    <row r="162" customFormat="1" s="156">
      <c r="A162" s="157" t="inlineStr">
        <is>
          <t>2L Oval Bowl</t>
        </is>
      </c>
      <c r="C162" s="158" t="n">
        <v>622</v>
      </c>
      <c r="D162" s="159" t="n">
        <v>0.2695</v>
      </c>
      <c r="E162" s="159" t="n">
        <v>0.4983</v>
      </c>
      <c r="F162" s="159" t="n">
        <v>0.7510686281215411</v>
      </c>
      <c r="G162" s="160" t="n">
        <v>0.9012823537458493</v>
      </c>
      <c r="H162" s="159" t="n"/>
      <c r="I162" s="155">
        <f>(G162-E162)/E162</f>
        <v/>
      </c>
    </row>
    <row r="163" customFormat="1" s="156">
      <c r="A163" s="152" t="inlineStr">
        <is>
          <t>13cm Round Serving Bowl</t>
        </is>
      </c>
      <c r="C163" s="153" t="n">
        <v>1231</v>
      </c>
      <c r="D163" s="154" t="n">
        <v>0.154</v>
      </c>
      <c r="E163" s="154" t="n">
        <v>0.3576</v>
      </c>
      <c r="F163" s="154" t="n">
        <v>0.5892636281215412</v>
      </c>
      <c r="G163" s="154" t="n">
        <v>0.7071163537458495</v>
      </c>
      <c r="H163" s="154" t="n"/>
      <c r="I163" s="155">
        <f>(G163-E163)/E163</f>
        <v/>
      </c>
    </row>
    <row r="164" customFormat="1" s="156">
      <c r="A164" s="157" t="inlineStr">
        <is>
          <t>18cm Round Serving Bowl</t>
        </is>
      </c>
      <c r="C164" s="158" t="n">
        <v>1232</v>
      </c>
      <c r="D164" s="159" t="n">
        <v>0.231</v>
      </c>
      <c r="E164" s="159" t="n">
        <v>0.4514</v>
      </c>
      <c r="F164" s="159" t="n">
        <v>0.6971336281215412</v>
      </c>
      <c r="G164" s="160" t="n">
        <v>0.8365603537458495</v>
      </c>
      <c r="H164" s="159" t="n"/>
      <c r="I164" s="155">
        <f>(G164-E164)/E164</f>
        <v/>
      </c>
    </row>
    <row r="165" customFormat="1" s="156">
      <c r="A165" s="152" t="inlineStr">
        <is>
          <t>21cm Round Serving Bowl</t>
        </is>
      </c>
      <c r="C165" s="153" t="n">
        <v>1233</v>
      </c>
      <c r="D165" s="154" t="n">
        <v>0.3465</v>
      </c>
      <c r="E165" s="154" t="n">
        <v>0.5921000000000001</v>
      </c>
      <c r="F165" s="154" t="n">
        <v>0.8589386281215412</v>
      </c>
      <c r="G165" s="154" t="n">
        <v>1.03072635374585</v>
      </c>
      <c r="H165" s="154" t="n"/>
      <c r="I165" s="155">
        <f>(G165-E165)/E165</f>
        <v/>
      </c>
    </row>
    <row r="166" customFormat="1" s="156">
      <c r="A166" s="157" t="inlineStr">
        <is>
          <t>24cm Round Serving Bowl</t>
        </is>
      </c>
      <c r="C166" s="158" t="n">
        <v>1234</v>
      </c>
      <c r="D166" s="159" t="n">
        <v>0.4235</v>
      </c>
      <c r="E166" s="159" t="n">
        <v>0.6859000000000001</v>
      </c>
      <c r="F166" s="159" t="n">
        <v>0.9668086281215412</v>
      </c>
      <c r="G166" s="160" t="n">
        <v>1.160170353745849</v>
      </c>
      <c r="H166" s="159" t="n"/>
      <c r="I166" s="155">
        <f>(G166-E166)/E166</f>
        <v/>
      </c>
    </row>
    <row r="167" customFormat="1" s="156">
      <c r="A167" s="152" t="inlineStr">
        <is>
          <t>33cm Round Planter with Tray</t>
        </is>
      </c>
      <c r="C167" s="153" t="n">
        <v>1803</v>
      </c>
      <c r="D167" s="154" t="n">
        <v>1.1165</v>
      </c>
      <c r="E167" s="154" t="n">
        <v>1.5301</v>
      </c>
      <c r="F167" s="154" t="n">
        <v>1.937638628121541</v>
      </c>
      <c r="G167" s="154" t="n">
        <v>2.325166353745849</v>
      </c>
      <c r="H167" s="154" t="n"/>
      <c r="I167" s="155">
        <f>(G167-E167)/E167</f>
        <v/>
      </c>
    </row>
    <row r="168" customFormat="1" s="156">
      <c r="A168" s="157" t="inlineStr">
        <is>
          <t>39cm Round Planter with Tray</t>
        </is>
      </c>
      <c r="C168" s="158" t="n">
        <v>1804</v>
      </c>
      <c r="D168" s="159" t="n">
        <v>1.6555</v>
      </c>
      <c r="E168" s="159" t="n">
        <v>2.1867</v>
      </c>
      <c r="F168" s="159" t="n">
        <v>2.692728628121541</v>
      </c>
      <c r="G168" s="160" t="n">
        <v>3.231274353745849</v>
      </c>
      <c r="H168" s="159" t="n"/>
      <c r="I168" s="155">
        <f>(G168-E168)/E168</f>
        <v/>
      </c>
    </row>
    <row r="169" customFormat="1" s="156">
      <c r="A169" s="152" t="inlineStr">
        <is>
          <t>55cm Round Planter with Tray</t>
        </is>
      </c>
      <c r="C169" s="153" t="n">
        <v>1806</v>
      </c>
      <c r="D169" s="154" t="n">
        <v>3.773000000000001</v>
      </c>
      <c r="E169" s="154" t="n">
        <v>4.7662</v>
      </c>
      <c r="F169" s="154" t="n">
        <v>5.659153628121541</v>
      </c>
      <c r="G169" s="154" t="n">
        <v>6.790984353745849</v>
      </c>
      <c r="H169" s="154" t="n"/>
      <c r="I169" s="155">
        <f>(G169-E169)/E169</f>
        <v/>
      </c>
    </row>
    <row r="170" customFormat="1" s="156">
      <c r="A170" s="157" t="inlineStr">
        <is>
          <t>63cm Round Planter with Tray</t>
        </is>
      </c>
      <c r="C170" s="158" t="n">
        <v>1807</v>
      </c>
      <c r="D170" s="159" t="n">
        <v>5.505500000000001</v>
      </c>
      <c r="E170" s="159" t="n">
        <v>6.8767</v>
      </c>
      <c r="F170" s="159" t="n">
        <v>8.086228628121541</v>
      </c>
      <c r="G170" s="160" t="n">
        <v>9.703474353745849</v>
      </c>
      <c r="H170" s="159" t="n"/>
      <c r="I170" s="155">
        <f>(G170-E170)/E170</f>
        <v/>
      </c>
    </row>
    <row r="171" customFormat="1" s="156">
      <c r="A171" s="152" t="inlineStr">
        <is>
          <t>61*25cm Rectangular Planter with Tray</t>
        </is>
      </c>
      <c r="C171" s="153" t="n">
        <v>1811</v>
      </c>
      <c r="D171" s="154" t="n">
        <v>1.925</v>
      </c>
      <c r="E171" s="154" t="n">
        <v>2.515</v>
      </c>
      <c r="F171" s="154" t="n">
        <v>3.070273628121541</v>
      </c>
      <c r="G171" s="154" t="n">
        <v>3.684328353745849</v>
      </c>
      <c r="H171" s="154" t="n"/>
      <c r="I171" s="155">
        <f>(G171-E171)/E171</f>
        <v/>
      </c>
    </row>
    <row r="172" customFormat="1" s="156">
      <c r="A172" s="157" t="inlineStr">
        <is>
          <t>72*25cm Rectangular Planter with Tray</t>
        </is>
      </c>
      <c r="C172" s="158" t="n">
        <v>1812</v>
      </c>
      <c r="D172" s="159" t="n">
        <v>2.31</v>
      </c>
      <c r="E172" s="159" t="n">
        <v>2.984</v>
      </c>
      <c r="F172" s="159" t="n">
        <v>3.609623628121541</v>
      </c>
      <c r="G172" s="160" t="n">
        <v>4.331548353745848</v>
      </c>
      <c r="H172" s="159" t="n"/>
      <c r="I172" s="155">
        <f>(G172-E172)/E172</f>
        <v/>
      </c>
    </row>
    <row r="173" customFormat="1" s="156">
      <c r="A173" s="152" t="inlineStr">
        <is>
          <t>60*40cm Rectangular Planter with Tray</t>
        </is>
      </c>
      <c r="C173" s="153" t="n">
        <v>1815</v>
      </c>
      <c r="D173" s="154" t="n">
        <v>5.505500000000001</v>
      </c>
      <c r="E173" s="154" t="n">
        <v>6.8767</v>
      </c>
      <c r="F173" s="154" t="n">
        <v>8.086228628121541</v>
      </c>
      <c r="G173" s="154" t="n">
        <v>9.703474353745849</v>
      </c>
      <c r="H173" s="154" t="n"/>
      <c r="I173" s="155">
        <f>(G173-E173)/E173</f>
        <v/>
      </c>
    </row>
    <row r="174" customFormat="1" s="156">
      <c r="A174" s="157" t="inlineStr">
        <is>
          <t>80*40cm Rectangular Planter with Tray</t>
        </is>
      </c>
      <c r="C174" s="158" t="n">
        <v>1816</v>
      </c>
      <c r="D174" s="159" t="n">
        <v>6.4295</v>
      </c>
      <c r="E174" s="159" t="n">
        <v>8.0023</v>
      </c>
      <c r="F174" s="159" t="n">
        <v>9.380668628121542</v>
      </c>
      <c r="G174" s="160" t="n">
        <v>11.25680235374585</v>
      </c>
      <c r="H174" s="159" t="n"/>
      <c r="I174" s="155">
        <f>(G174-E174)/E174</f>
        <v/>
      </c>
    </row>
    <row r="175">
      <c r="D175" s="147" t="n"/>
      <c r="E175" s="147" t="n"/>
      <c r="F175" s="147" t="n"/>
      <c r="G175" s="147" t="n"/>
      <c r="H175" s="147" t="n"/>
    </row>
    <row r="176">
      <c r="D176" s="147" t="n"/>
      <c r="E176" s="147" t="n"/>
      <c r="F176" s="147" t="n"/>
      <c r="G176" s="147" t="n"/>
      <c r="H176" s="147" t="n"/>
    </row>
    <row r="177">
      <c r="D177" s="147" t="n"/>
      <c r="E177" s="147" t="n"/>
      <c r="F177" s="147" t="n"/>
      <c r="G177" s="147" t="n"/>
      <c r="H177" s="147" t="n"/>
    </row>
    <row r="178">
      <c r="D178" s="147" t="n"/>
      <c r="E178" s="147" t="n"/>
      <c r="F178" s="147" t="n"/>
      <c r="G178" s="147" t="n"/>
      <c r="H178" s="147" t="n"/>
    </row>
    <row r="179">
      <c r="D179" s="147" t="n"/>
      <c r="E179" s="147" t="n"/>
      <c r="F179" s="147" t="n"/>
      <c r="G179" s="147" t="n"/>
      <c r="H179" s="147" t="n"/>
    </row>
    <row r="180">
      <c r="D180" s="147" t="n"/>
      <c r="E180" s="147" t="n"/>
      <c r="F180" s="147" t="n"/>
      <c r="G180" s="147" t="n"/>
      <c r="H180" s="147" t="n"/>
    </row>
    <row r="181">
      <c r="D181" s="147" t="n"/>
      <c r="E181" s="147" t="n"/>
      <c r="F181" s="147" t="n"/>
      <c r="G181" s="147" t="n"/>
      <c r="H181" s="147" t="n"/>
    </row>
    <row r="182">
      <c r="D182" s="147" t="n"/>
      <c r="E182" s="147" t="n"/>
      <c r="F182" s="147" t="n"/>
      <c r="G182" s="147" t="n"/>
      <c r="H182" s="147" t="n"/>
    </row>
    <row r="183">
      <c r="D183" s="147" t="n"/>
      <c r="E183" s="147" t="n"/>
      <c r="F183" s="147" t="n"/>
      <c r="G183" s="147" t="n"/>
      <c r="H183" s="147" t="n"/>
    </row>
    <row r="184">
      <c r="D184" s="147" t="n"/>
      <c r="E184" s="147" t="n"/>
      <c r="F184" s="147" t="n"/>
      <c r="G184" s="147" t="n"/>
      <c r="H184" s="147" t="n"/>
    </row>
    <row r="185">
      <c r="D185" s="147" t="n"/>
      <c r="E185" s="147" t="n"/>
      <c r="F185" s="147" t="n"/>
      <c r="G185" s="147" t="n"/>
      <c r="H185" s="147" t="n"/>
    </row>
    <row r="186">
      <c r="D186" s="147" t="n"/>
      <c r="E186" s="147" t="n"/>
      <c r="F186" s="147" t="n"/>
      <c r="G186" s="147" t="n"/>
      <c r="H186" s="147" t="n"/>
    </row>
    <row r="187">
      <c r="D187" s="147" t="n"/>
      <c r="E187" s="147" t="n"/>
      <c r="F187" s="147" t="n"/>
      <c r="G187" s="147" t="n"/>
      <c r="H187" s="147" t="n"/>
    </row>
    <row r="188">
      <c r="D188" s="147" t="n"/>
      <c r="E188" s="147" t="n"/>
      <c r="F188" s="147" t="n"/>
      <c r="G188" s="147" t="n"/>
      <c r="H188" s="147" t="n"/>
    </row>
    <row r="189">
      <c r="D189" s="147" t="n"/>
      <c r="E189" s="147" t="n"/>
      <c r="F189" s="147" t="n"/>
      <c r="G189" s="147" t="n"/>
      <c r="H189" s="147" t="n"/>
    </row>
    <row r="190">
      <c r="D190" s="147" t="n"/>
      <c r="E190" s="147" t="n"/>
      <c r="F190" s="147" t="n"/>
      <c r="G190" s="147" t="n"/>
      <c r="H190" s="147" t="n"/>
    </row>
    <row r="191">
      <c r="D191" s="147" t="n"/>
      <c r="E191" s="147" t="n"/>
      <c r="F191" s="147" t="n"/>
      <c r="G191" s="147" t="n"/>
      <c r="H191" s="147" t="n"/>
    </row>
    <row r="192">
      <c r="D192" s="147" t="n"/>
      <c r="E192" s="147" t="n"/>
      <c r="F192" s="147" t="n"/>
      <c r="G192" s="147" t="n"/>
      <c r="H192" s="147" t="n"/>
    </row>
    <row r="193">
      <c r="D193" s="147" t="n"/>
      <c r="E193" s="147" t="n"/>
      <c r="F193" s="147" t="n"/>
      <c r="G193" s="147" t="n"/>
      <c r="H193" s="147" t="n"/>
    </row>
    <row r="194">
      <c r="D194" s="147" t="n"/>
      <c r="E194" s="147" t="n"/>
      <c r="F194" s="147" t="n"/>
      <c r="G194" s="147" t="n"/>
      <c r="H194" s="147" t="n"/>
    </row>
    <row r="195">
      <c r="D195" s="147" t="n"/>
      <c r="E195" s="147" t="n"/>
      <c r="F195" s="147" t="n"/>
      <c r="G195" s="147" t="n"/>
      <c r="H195" s="147" t="n"/>
    </row>
    <row r="196">
      <c r="D196" s="147" t="n"/>
      <c r="E196" s="147" t="n"/>
      <c r="F196" s="147" t="n"/>
      <c r="G196" s="147" t="n"/>
      <c r="H196" s="147" t="n"/>
    </row>
    <row r="197">
      <c r="D197" s="147" t="n"/>
      <c r="E197" s="147" t="n"/>
      <c r="F197" s="147" t="n"/>
      <c r="G197" s="147" t="n"/>
      <c r="H197" s="147" t="n"/>
    </row>
    <row r="198">
      <c r="D198" s="147" t="n"/>
      <c r="E198" s="147" t="n"/>
      <c r="F198" s="147" t="n"/>
      <c r="G198" s="147" t="n"/>
      <c r="H198" s="147" t="n"/>
    </row>
    <row r="199">
      <c r="D199" s="147" t="n"/>
      <c r="E199" s="147" t="n"/>
      <c r="F199" s="147" t="n"/>
      <c r="G199" s="147" t="n"/>
      <c r="H199" s="147" t="n"/>
    </row>
    <row r="200">
      <c r="D200" s="147" t="n"/>
      <c r="E200" s="147" t="n"/>
      <c r="F200" s="147" t="n"/>
      <c r="G200" s="147" t="n"/>
      <c r="H200" s="147" t="n"/>
    </row>
    <row r="201">
      <c r="D201" s="147" t="n"/>
      <c r="E201" s="147" t="n"/>
      <c r="F201" s="147" t="n"/>
      <c r="G201" s="147" t="n"/>
      <c r="H201" s="147" t="n"/>
    </row>
    <row r="202">
      <c r="D202" s="147" t="n"/>
      <c r="E202" s="147" t="n"/>
      <c r="F202" s="147" t="n"/>
      <c r="G202" s="147" t="n"/>
      <c r="H202" s="147" t="n"/>
    </row>
    <row r="203">
      <c r="D203" s="147" t="n"/>
      <c r="E203" s="147" t="n"/>
      <c r="F203" s="147" t="n"/>
      <c r="G203" s="147" t="n"/>
      <c r="H203" s="147" t="n"/>
    </row>
    <row r="204">
      <c r="D204" s="147" t="n"/>
      <c r="E204" s="147" t="n"/>
      <c r="F204" s="147" t="n"/>
      <c r="G204" s="147" t="n"/>
      <c r="H204" s="147" t="n"/>
    </row>
    <row r="205">
      <c r="D205" s="147" t="n"/>
      <c r="E205" s="147" t="n"/>
      <c r="F205" s="147" t="n"/>
      <c r="G205" s="147" t="n"/>
      <c r="H205" s="147" t="n"/>
    </row>
    <row r="206">
      <c r="D206" s="147" t="n"/>
      <c r="E206" s="147" t="n"/>
      <c r="F206" s="147" t="n"/>
      <c r="G206" s="147" t="n"/>
      <c r="H206" s="147" t="n"/>
    </row>
    <row r="207">
      <c r="D207" s="147" t="n"/>
      <c r="E207" s="147" t="n"/>
      <c r="F207" s="147" t="n"/>
      <c r="G207" s="147" t="n"/>
      <c r="H207" s="147" t="n"/>
    </row>
    <row r="208">
      <c r="D208" s="147" t="n"/>
      <c r="E208" s="147" t="n"/>
      <c r="F208" s="147" t="n"/>
      <c r="G208" s="147" t="n"/>
      <c r="H208" s="147" t="n"/>
    </row>
    <row r="209">
      <c r="D209" s="147" t="n"/>
      <c r="E209" s="147" t="n"/>
      <c r="F209" s="147" t="n"/>
      <c r="G209" s="147" t="n"/>
      <c r="H209" s="147" t="n"/>
    </row>
    <row r="210">
      <c r="D210" s="147" t="n"/>
      <c r="E210" s="147" t="n"/>
      <c r="F210" s="147" t="n"/>
      <c r="G210" s="147" t="n"/>
      <c r="H210" s="147" t="n"/>
    </row>
    <row r="211">
      <c r="D211" s="147" t="n"/>
      <c r="E211" s="147" t="n"/>
      <c r="F211" s="147" t="n"/>
      <c r="G211" s="147" t="n"/>
      <c r="H211" s="147" t="n"/>
    </row>
    <row r="212">
      <c r="D212" s="147" t="n"/>
      <c r="E212" s="147" t="n"/>
      <c r="F212" s="147" t="n"/>
      <c r="G212" s="147" t="n"/>
      <c r="H212" s="147" t="n"/>
    </row>
    <row r="213">
      <c r="D213" s="147" t="n"/>
      <c r="E213" s="147" t="n"/>
      <c r="F213" s="147" t="n"/>
      <c r="G213" s="147" t="n"/>
      <c r="H213" s="147" t="n"/>
    </row>
    <row r="214">
      <c r="D214" s="147" t="n"/>
      <c r="E214" s="147" t="n"/>
      <c r="F214" s="147" t="n"/>
      <c r="G214" s="147" t="n"/>
      <c r="H214" s="147" t="n"/>
    </row>
    <row r="215">
      <c r="D215" s="147" t="n"/>
      <c r="E215" s="147" t="n"/>
      <c r="F215" s="147" t="n"/>
      <c r="G215" s="147" t="n"/>
      <c r="H215" s="147" t="n"/>
    </row>
    <row r="216">
      <c r="D216" s="147" t="n"/>
      <c r="E216" s="147" t="n"/>
      <c r="F216" s="147" t="n"/>
      <c r="G216" s="147" t="n"/>
      <c r="H216" s="147" t="n"/>
    </row>
    <row r="217">
      <c r="D217" s="147" t="n"/>
      <c r="E217" s="147" t="n"/>
      <c r="F217" s="147" t="n"/>
      <c r="G217" s="147" t="n"/>
      <c r="H217" s="147" t="n"/>
    </row>
    <row r="218">
      <c r="D218" s="147" t="n"/>
      <c r="E218" s="147" t="n"/>
      <c r="F218" s="147" t="n"/>
      <c r="G218" s="147" t="n"/>
      <c r="H218" s="147" t="n"/>
    </row>
    <row r="219">
      <c r="D219" s="147" t="n"/>
      <c r="E219" s="147" t="n"/>
      <c r="F219" s="147" t="n"/>
      <c r="G219" s="147" t="n"/>
      <c r="H219" s="147" t="n"/>
    </row>
    <row r="220">
      <c r="D220" s="147" t="n"/>
      <c r="E220" s="147" t="n"/>
      <c r="F220" s="147" t="n"/>
      <c r="G220" s="147" t="n"/>
      <c r="H220" s="147" t="n"/>
    </row>
    <row r="221">
      <c r="D221" s="147" t="n"/>
      <c r="E221" s="147" t="n"/>
      <c r="F221" s="147" t="n"/>
      <c r="G221" s="147" t="n"/>
      <c r="H221" s="147" t="n"/>
    </row>
    <row r="222">
      <c r="D222" s="147" t="n"/>
      <c r="E222" s="147" t="n"/>
      <c r="F222" s="147" t="n"/>
      <c r="G222" s="147" t="n"/>
      <c r="H222" s="147" t="n"/>
    </row>
    <row r="223">
      <c r="D223" s="147" t="n"/>
      <c r="E223" s="147" t="n"/>
      <c r="F223" s="147" t="n"/>
      <c r="G223" s="147" t="n"/>
      <c r="H223" s="147" t="n"/>
    </row>
    <row r="224">
      <c r="D224" s="147" t="n"/>
      <c r="E224" s="147" t="n"/>
      <c r="F224" s="147" t="n"/>
      <c r="G224" s="147" t="n"/>
      <c r="H224" s="147" t="n"/>
    </row>
    <row r="225">
      <c r="D225" s="147" t="n"/>
      <c r="E225" s="147" t="n"/>
      <c r="F225" s="147" t="n"/>
      <c r="G225" s="147" t="n"/>
      <c r="H225" s="147" t="n"/>
    </row>
    <row r="226">
      <c r="D226" s="147" t="n"/>
      <c r="E226" s="147" t="n"/>
      <c r="F226" s="147" t="n"/>
      <c r="G226" s="147" t="n"/>
      <c r="H226" s="147" t="n"/>
    </row>
    <row r="227">
      <c r="D227" s="147" t="n"/>
      <c r="E227" s="147" t="n"/>
      <c r="F227" s="147" t="n"/>
      <c r="G227" s="147" t="n"/>
      <c r="H227" s="147" t="n"/>
    </row>
    <row r="228">
      <c r="D228" s="147" t="n"/>
      <c r="E228" s="147" t="n"/>
      <c r="F228" s="147" t="n"/>
      <c r="G228" s="147" t="n"/>
      <c r="H228" s="147" t="n"/>
    </row>
    <row r="229">
      <c r="D229" s="147" t="n"/>
      <c r="E229" s="147" t="n"/>
      <c r="F229" s="147" t="n"/>
      <c r="G229" s="147" t="n"/>
      <c r="H229" s="147" t="n"/>
    </row>
    <row r="230">
      <c r="D230" s="147" t="n"/>
      <c r="E230" s="147" t="n"/>
      <c r="F230" s="147" t="n"/>
      <c r="G230" s="147" t="n"/>
      <c r="H230" s="147" t="n"/>
    </row>
    <row r="231">
      <c r="D231" s="147" t="n"/>
      <c r="E231" s="147" t="n"/>
      <c r="F231" s="147" t="n"/>
      <c r="G231" s="147" t="n"/>
      <c r="H231" s="147" t="n"/>
    </row>
    <row r="232">
      <c r="D232" s="147" t="n"/>
      <c r="E232" s="147" t="n"/>
      <c r="F232" s="147" t="n"/>
      <c r="G232" s="147" t="n"/>
      <c r="H232" s="147" t="n"/>
    </row>
    <row r="233">
      <c r="D233" s="147" t="n"/>
      <c r="E233" s="147" t="n"/>
      <c r="F233" s="147" t="n"/>
      <c r="G233" s="147" t="n"/>
      <c r="H233" s="147" t="n"/>
    </row>
    <row r="234">
      <c r="D234" s="147" t="n"/>
      <c r="E234" s="147" t="n"/>
      <c r="F234" s="147" t="n"/>
      <c r="G234" s="147" t="n"/>
      <c r="H234" s="147" t="n"/>
    </row>
    <row r="235">
      <c r="D235" s="147" t="n"/>
      <c r="E235" s="147" t="n"/>
      <c r="F235" s="147" t="n"/>
      <c r="G235" s="147" t="n"/>
      <c r="H235" s="147" t="n"/>
    </row>
    <row r="236">
      <c r="D236" s="147" t="n"/>
      <c r="E236" s="147" t="n"/>
      <c r="F236" s="147" t="n"/>
      <c r="G236" s="147" t="n"/>
      <c r="H236" s="147" t="n"/>
    </row>
    <row r="237">
      <c r="D237" s="147" t="n"/>
      <c r="E237" s="147" t="n"/>
      <c r="F237" s="147" t="n"/>
      <c r="G237" s="147" t="n"/>
      <c r="H237" s="147" t="n"/>
    </row>
    <row r="238">
      <c r="D238" s="147" t="n"/>
      <c r="E238" s="147" t="n"/>
      <c r="F238" s="147" t="n"/>
      <c r="G238" s="147" t="n"/>
      <c r="H238" s="147" t="n"/>
    </row>
    <row r="239">
      <c r="D239" s="147" t="n"/>
      <c r="E239" s="147" t="n"/>
      <c r="F239" s="147" t="n"/>
      <c r="G239" s="147" t="n"/>
      <c r="H239" s="147" t="n"/>
    </row>
    <row r="240">
      <c r="D240" s="147" t="n"/>
      <c r="E240" s="147" t="n"/>
      <c r="F240" s="147" t="n"/>
      <c r="G240" s="147" t="n"/>
      <c r="H240" s="147" t="n"/>
    </row>
    <row r="241">
      <c r="D241" s="147" t="n"/>
      <c r="E241" s="147" t="n"/>
      <c r="F241" s="147" t="n"/>
      <c r="G241" s="147" t="n"/>
      <c r="H241" s="147" t="n"/>
    </row>
    <row r="242">
      <c r="D242" s="147" t="n"/>
      <c r="E242" s="147" t="n"/>
      <c r="F242" s="147" t="n"/>
      <c r="G242" s="147" t="n"/>
      <c r="H242" s="147" t="n"/>
    </row>
    <row r="243">
      <c r="D243" s="147" t="n"/>
      <c r="E243" s="147" t="n"/>
      <c r="F243" s="147" t="n"/>
      <c r="G243" s="147" t="n"/>
      <c r="H243" s="147" t="n"/>
    </row>
    <row r="244">
      <c r="D244" s="147" t="n"/>
      <c r="E244" s="147" t="n"/>
      <c r="F244" s="147" t="n"/>
      <c r="G244" s="147" t="n"/>
      <c r="H244" s="147" t="n"/>
    </row>
    <row r="245">
      <c r="D245" s="147" t="n"/>
      <c r="E245" s="147" t="n"/>
      <c r="F245" s="147" t="n"/>
      <c r="G245" s="147" t="n"/>
      <c r="H245" s="147" t="n"/>
    </row>
    <row r="246">
      <c r="D246" s="147" t="n"/>
      <c r="E246" s="147" t="n"/>
      <c r="F246" s="147" t="n"/>
      <c r="G246" s="147" t="n"/>
      <c r="H246" s="147" t="n"/>
    </row>
    <row r="247">
      <c r="D247" s="147" t="n"/>
      <c r="E247" s="147" t="n"/>
      <c r="F247" s="147" t="n"/>
      <c r="G247" s="147" t="n"/>
      <c r="H247" s="147" t="n"/>
    </row>
    <row r="248">
      <c r="D248" s="147" t="n"/>
      <c r="E248" s="147" t="n"/>
      <c r="F248" s="147" t="n"/>
      <c r="G248" s="147" t="n"/>
      <c r="H248" s="147" t="n"/>
    </row>
    <row r="249">
      <c r="D249" s="147" t="n"/>
      <c r="E249" s="147" t="n"/>
      <c r="F249" s="147" t="n"/>
      <c r="G249" s="147" t="n"/>
      <c r="H249" s="147" t="n"/>
    </row>
    <row r="250">
      <c r="D250" s="147" t="n"/>
      <c r="E250" s="147" t="n"/>
      <c r="F250" s="147" t="n"/>
      <c r="G250" s="147" t="n"/>
      <c r="H250" s="147" t="n"/>
    </row>
    <row r="251">
      <c r="D251" s="147" t="n"/>
      <c r="E251" s="147" t="n"/>
      <c r="F251" s="147" t="n"/>
      <c r="G251" s="147" t="n"/>
      <c r="H251" s="147" t="n"/>
    </row>
    <row r="252">
      <c r="D252" s="147" t="n"/>
      <c r="E252" s="147" t="n"/>
      <c r="F252" s="147" t="n"/>
      <c r="G252" s="147" t="n"/>
      <c r="H252" s="147" t="n"/>
    </row>
    <row r="253">
      <c r="D253" s="147" t="n"/>
      <c r="E253" s="147" t="n"/>
      <c r="F253" s="147" t="n"/>
      <c r="G253" s="147" t="n"/>
      <c r="H253" s="147" t="n"/>
    </row>
    <row r="254">
      <c r="D254" s="147" t="n"/>
      <c r="E254" s="147" t="n"/>
      <c r="F254" s="147" t="n"/>
      <c r="G254" s="147" t="n"/>
      <c r="H254" s="147" t="n"/>
    </row>
    <row r="255">
      <c r="D255" s="147" t="n"/>
      <c r="E255" s="147" t="n"/>
      <c r="F255" s="147" t="n"/>
      <c r="G255" s="147" t="n"/>
      <c r="H255" s="147" t="n"/>
    </row>
    <row r="256">
      <c r="D256" s="147" t="n"/>
      <c r="E256" s="147" t="n"/>
      <c r="F256" s="147" t="n"/>
      <c r="G256" s="147" t="n"/>
      <c r="H256" s="147" t="n"/>
    </row>
    <row r="257">
      <c r="D257" s="147" t="n"/>
      <c r="E257" s="147" t="n"/>
      <c r="F257" s="147" t="n"/>
      <c r="G257" s="147" t="n"/>
      <c r="H257" s="147" t="n"/>
    </row>
    <row r="258">
      <c r="D258" s="147" t="n"/>
      <c r="E258" s="147" t="n"/>
      <c r="F258" s="147" t="n"/>
      <c r="G258" s="147" t="n"/>
      <c r="H258" s="147" t="n"/>
    </row>
    <row r="259">
      <c r="D259" s="147" t="n"/>
      <c r="E259" s="147" t="n"/>
      <c r="F259" s="147" t="n"/>
      <c r="G259" s="147" t="n"/>
      <c r="H259" s="147" t="n"/>
    </row>
    <row r="260">
      <c r="D260" s="147" t="n"/>
      <c r="E260" s="147" t="n"/>
      <c r="F260" s="147" t="n"/>
      <c r="G260" s="147" t="n"/>
      <c r="H260" s="147" t="n"/>
    </row>
    <row r="261">
      <c r="D261" s="147" t="n"/>
      <c r="E261" s="147" t="n"/>
      <c r="F261" s="147" t="n"/>
      <c r="G261" s="147" t="n"/>
      <c r="H261" s="147" t="n"/>
    </row>
    <row r="262">
      <c r="D262" s="147" t="n"/>
      <c r="E262" s="147" t="n"/>
      <c r="F262" s="147" t="n"/>
      <c r="G262" s="147" t="n"/>
      <c r="H262" s="147" t="n"/>
    </row>
    <row r="263">
      <c r="D263" s="147" t="n"/>
      <c r="E263" s="147" t="n"/>
      <c r="F263" s="147" t="n"/>
      <c r="G263" s="147" t="n"/>
      <c r="H263" s="147" t="n"/>
    </row>
    <row r="264">
      <c r="D264" s="147" t="n"/>
      <c r="E264" s="147" t="n"/>
      <c r="F264" s="147" t="n"/>
      <c r="G264" s="147" t="n"/>
      <c r="H264" s="147" t="n"/>
    </row>
    <row r="265">
      <c r="D265" s="147" t="n"/>
      <c r="E265" s="147" t="n"/>
      <c r="F265" s="147" t="n"/>
      <c r="G265" s="147" t="n"/>
      <c r="H265" s="147" t="n"/>
    </row>
    <row r="266">
      <c r="D266" s="147" t="n"/>
      <c r="E266" s="147" t="n"/>
      <c r="F266" s="147" t="n"/>
      <c r="G266" s="147" t="n"/>
      <c r="H266" s="147" t="n"/>
    </row>
    <row r="267">
      <c r="D267" s="147" t="n"/>
      <c r="E267" s="147" t="n"/>
      <c r="F267" s="147" t="n"/>
      <c r="G267" s="147" t="n"/>
      <c r="H267" s="147" t="n"/>
    </row>
    <row r="268">
      <c r="D268" s="147" t="n"/>
      <c r="E268" s="147" t="n"/>
      <c r="F268" s="147" t="n"/>
      <c r="G268" s="147" t="n"/>
      <c r="H268" s="147" t="n"/>
    </row>
    <row r="269">
      <c r="D269" s="147" t="n"/>
      <c r="E269" s="147" t="n"/>
      <c r="F269" s="147" t="n"/>
      <c r="G269" s="147" t="n"/>
      <c r="H269" s="147" t="n"/>
    </row>
    <row r="270">
      <c r="D270" s="147" t="n"/>
      <c r="E270" s="147" t="n"/>
      <c r="F270" s="147" t="n"/>
      <c r="G270" s="147" t="n"/>
      <c r="H270" s="147" t="n"/>
    </row>
    <row r="271">
      <c r="D271" s="147" t="n"/>
      <c r="E271" s="147" t="n"/>
      <c r="F271" s="147" t="n"/>
      <c r="G271" s="147" t="n"/>
      <c r="H271" s="147" t="n"/>
    </row>
    <row r="272">
      <c r="D272" s="147" t="n"/>
      <c r="E272" s="147" t="n"/>
      <c r="F272" s="147" t="n"/>
      <c r="G272" s="147" t="n"/>
      <c r="H272" s="147" t="n"/>
    </row>
    <row r="273">
      <c r="D273" s="147" t="n"/>
      <c r="E273" s="147" t="n"/>
      <c r="F273" s="147" t="n"/>
      <c r="G273" s="147" t="n"/>
      <c r="H273" s="147" t="n"/>
    </row>
    <row r="274">
      <c r="D274" s="147" t="n"/>
      <c r="E274" s="147" t="n"/>
      <c r="F274" s="147" t="n"/>
      <c r="G274" s="147" t="n"/>
      <c r="H274" s="147" t="n"/>
    </row>
    <row r="275">
      <c r="D275" s="147" t="n"/>
      <c r="E275" s="147" t="n"/>
      <c r="F275" s="147" t="n"/>
      <c r="G275" s="147" t="n"/>
      <c r="H275" s="147" t="n"/>
    </row>
    <row r="276">
      <c r="D276" s="147" t="n"/>
      <c r="E276" s="147" t="n"/>
      <c r="F276" s="147" t="n"/>
      <c r="G276" s="147" t="n"/>
      <c r="H276" s="147" t="n"/>
    </row>
    <row r="277">
      <c r="D277" s="147" t="n"/>
      <c r="E277" s="147" t="n"/>
      <c r="F277" s="147" t="n"/>
      <c r="G277" s="147" t="n"/>
      <c r="H277" s="147" t="n"/>
    </row>
    <row r="278">
      <c r="D278" s="147" t="n"/>
      <c r="E278" s="147" t="n"/>
      <c r="F278" s="147" t="n"/>
      <c r="G278" s="147" t="n"/>
      <c r="H278" s="147" t="n"/>
    </row>
    <row r="279">
      <c r="D279" s="147" t="n"/>
      <c r="E279" s="147" t="n"/>
      <c r="F279" s="147" t="n"/>
      <c r="G279" s="147" t="n"/>
      <c r="H279" s="147" t="n"/>
    </row>
    <row r="280">
      <c r="D280" s="147" t="n"/>
      <c r="E280" s="147" t="n"/>
      <c r="F280" s="147" t="n"/>
      <c r="G280" s="147" t="n"/>
      <c r="H280" s="147" t="n"/>
    </row>
    <row r="281">
      <c r="D281" s="147" t="n"/>
      <c r="E281" s="147" t="n"/>
      <c r="F281" s="147" t="n"/>
      <c r="G281" s="147" t="n"/>
      <c r="H281" s="147" t="n"/>
    </row>
    <row r="282">
      <c r="D282" s="147" t="n"/>
      <c r="E282" s="147" t="n"/>
      <c r="F282" s="147" t="n"/>
      <c r="G282" s="147" t="n"/>
      <c r="H282" s="147" t="n"/>
    </row>
    <row r="283">
      <c r="D283" s="147" t="n"/>
      <c r="E283" s="147" t="n"/>
      <c r="F283" s="147" t="n"/>
      <c r="G283" s="147" t="n"/>
      <c r="H283" s="147" t="n"/>
    </row>
    <row r="284">
      <c r="D284" s="147" t="n"/>
      <c r="E284" s="147" t="n"/>
      <c r="F284" s="147" t="n"/>
      <c r="G284" s="147" t="n"/>
      <c r="H284" s="147" t="n"/>
    </row>
    <row r="285">
      <c r="D285" s="147" t="n"/>
      <c r="E285" s="147" t="n"/>
      <c r="F285" s="147" t="n"/>
      <c r="G285" s="147" t="n"/>
      <c r="H285" s="147" t="n"/>
    </row>
    <row r="286">
      <c r="D286" s="147" t="n"/>
      <c r="E286" s="147" t="n"/>
      <c r="F286" s="147" t="n"/>
      <c r="G286" s="147" t="n"/>
      <c r="H286" s="147" t="n"/>
    </row>
    <row r="287">
      <c r="D287" s="147" t="n"/>
      <c r="E287" s="147" t="n"/>
      <c r="F287" s="147" t="n"/>
      <c r="G287" s="147" t="n"/>
      <c r="H287" s="147" t="n"/>
    </row>
    <row r="288">
      <c r="D288" s="147" t="n"/>
      <c r="E288" s="147" t="n"/>
      <c r="F288" s="147" t="n"/>
      <c r="G288" s="147" t="n"/>
      <c r="H288" s="147" t="n"/>
    </row>
    <row r="289">
      <c r="D289" s="147" t="n"/>
      <c r="E289" s="147" t="n"/>
      <c r="F289" s="147" t="n"/>
      <c r="G289" s="147" t="n"/>
      <c r="H289" s="147" t="n"/>
    </row>
    <row r="290">
      <c r="D290" s="147" t="n"/>
      <c r="E290" s="147" t="n"/>
      <c r="F290" s="147" t="n"/>
      <c r="G290" s="147" t="n"/>
      <c r="H290" s="147" t="n"/>
    </row>
    <row r="291">
      <c r="D291" s="147" t="n"/>
      <c r="E291" s="147" t="n"/>
      <c r="F291" s="147" t="n"/>
      <c r="G291" s="147" t="n"/>
      <c r="H291" s="147" t="n"/>
    </row>
    <row r="292">
      <c r="D292" s="147" t="n"/>
      <c r="E292" s="147" t="n"/>
      <c r="F292" s="147" t="n"/>
      <c r="G292" s="147" t="n"/>
      <c r="H292" s="147" t="n"/>
    </row>
    <row r="293">
      <c r="D293" s="147" t="n"/>
      <c r="E293" s="147" t="n"/>
      <c r="F293" s="147" t="n"/>
      <c r="G293" s="147" t="n"/>
      <c r="H293" s="147" t="n"/>
    </row>
    <row r="294">
      <c r="D294" s="147" t="n"/>
      <c r="E294" s="147" t="n"/>
      <c r="F294" s="147" t="n"/>
      <c r="G294" s="147" t="n"/>
      <c r="H294" s="147" t="n"/>
    </row>
    <row r="295">
      <c r="D295" s="147" t="n"/>
      <c r="E295" s="147" t="n"/>
      <c r="F295" s="147" t="n"/>
      <c r="G295" s="147" t="n"/>
      <c r="H295" s="147" t="n"/>
    </row>
    <row r="296">
      <c r="D296" s="147" t="n"/>
      <c r="E296" s="147" t="n"/>
      <c r="F296" s="147" t="n"/>
      <c r="G296" s="147" t="n"/>
      <c r="H296" s="147" t="n"/>
    </row>
    <row r="297">
      <c r="D297" s="147" t="n"/>
      <c r="E297" s="147" t="n"/>
      <c r="F297" s="147" t="n"/>
      <c r="G297" s="147" t="n"/>
      <c r="H297" s="147" t="n"/>
    </row>
    <row r="298">
      <c r="D298" s="147" t="n"/>
      <c r="E298" s="147" t="n"/>
      <c r="F298" s="147" t="n"/>
      <c r="G298" s="147" t="n"/>
      <c r="H298" s="147" t="n"/>
    </row>
    <row r="299">
      <c r="D299" s="147" t="n"/>
      <c r="E299" s="147" t="n"/>
      <c r="F299" s="147" t="n"/>
      <c r="G299" s="147" t="n"/>
      <c r="H299" s="147" t="n"/>
    </row>
    <row r="300">
      <c r="D300" s="147" t="n"/>
      <c r="E300" s="147" t="n"/>
      <c r="F300" s="147" t="n"/>
      <c r="G300" s="147" t="n"/>
      <c r="H300" s="147" t="n"/>
    </row>
    <row r="301">
      <c r="D301" s="147" t="n"/>
      <c r="E301" s="147" t="n"/>
      <c r="F301" s="147" t="n"/>
      <c r="G301" s="147" t="n"/>
      <c r="H301" s="147" t="n"/>
    </row>
    <row r="302">
      <c r="D302" s="147" t="n"/>
      <c r="E302" s="147" t="n"/>
      <c r="F302" s="147" t="n"/>
      <c r="G302" s="147" t="n"/>
      <c r="H302" s="147" t="n"/>
    </row>
    <row r="303">
      <c r="D303" s="147" t="n"/>
      <c r="E303" s="147" t="n"/>
      <c r="F303" s="147" t="n"/>
      <c r="G303" s="147" t="n"/>
      <c r="H303" s="147" t="n"/>
    </row>
    <row r="304">
      <c r="D304" s="147" t="n"/>
      <c r="E304" s="147" t="n"/>
      <c r="F304" s="147" t="n"/>
      <c r="G304" s="147" t="n"/>
      <c r="H304" s="147" t="n"/>
    </row>
    <row r="305">
      <c r="D305" s="147" t="n"/>
      <c r="E305" s="147" t="n"/>
      <c r="F305" s="147" t="n"/>
      <c r="G305" s="147" t="n"/>
      <c r="H305" s="147" t="n"/>
    </row>
    <row r="306">
      <c r="D306" s="147" t="n"/>
      <c r="E306" s="147" t="n"/>
      <c r="F306" s="147" t="n"/>
      <c r="G306" s="147" t="n"/>
      <c r="H306" s="147" t="n"/>
    </row>
    <row r="307">
      <c r="D307" s="147" t="n"/>
      <c r="E307" s="147" t="n"/>
      <c r="F307" s="147" t="n"/>
      <c r="G307" s="147" t="n"/>
      <c r="H307" s="147" t="n"/>
    </row>
    <row r="308">
      <c r="D308" s="147" t="n"/>
      <c r="E308" s="147" t="n"/>
      <c r="F308" s="147" t="n"/>
      <c r="G308" s="147" t="n"/>
      <c r="H308" s="147" t="n"/>
    </row>
    <row r="309">
      <c r="D309" s="147" t="n"/>
      <c r="E309" s="147" t="n"/>
      <c r="F309" s="147" t="n"/>
      <c r="G309" s="147" t="n"/>
      <c r="H309" s="147" t="n"/>
    </row>
    <row r="310">
      <c r="D310" s="147" t="n"/>
      <c r="E310" s="147" t="n"/>
      <c r="F310" s="147" t="n"/>
      <c r="G310" s="147" t="n"/>
      <c r="H310" s="147" t="n"/>
    </row>
    <row r="311">
      <c r="D311" s="147" t="n"/>
      <c r="E311" s="147" t="n"/>
      <c r="F311" s="147" t="n"/>
      <c r="G311" s="147" t="n"/>
      <c r="H311" s="147" t="n"/>
    </row>
    <row r="312">
      <c r="D312" s="147" t="n"/>
      <c r="E312" s="147" t="n"/>
      <c r="F312" s="147" t="n"/>
      <c r="G312" s="147" t="n"/>
      <c r="H312" s="147" t="n"/>
    </row>
    <row r="313">
      <c r="D313" s="147" t="n"/>
      <c r="E313" s="147" t="n"/>
      <c r="F313" s="147" t="n"/>
      <c r="G313" s="147" t="n"/>
      <c r="H313" s="147" t="n"/>
    </row>
    <row r="314">
      <c r="D314" s="147" t="n"/>
      <c r="E314" s="147" t="n"/>
      <c r="F314" s="147" t="n"/>
      <c r="G314" s="147" t="n"/>
      <c r="H314" s="147" t="n"/>
    </row>
    <row r="315">
      <c r="D315" s="147" t="n"/>
      <c r="E315" s="147" t="n"/>
      <c r="F315" s="147" t="n"/>
      <c r="G315" s="147" t="n"/>
      <c r="H315" s="147" t="n"/>
    </row>
    <row r="316">
      <c r="D316" s="147" t="n"/>
      <c r="E316" s="147" t="n"/>
      <c r="F316" s="147" t="n"/>
      <c r="G316" s="147" t="n"/>
      <c r="H316" s="147" t="n"/>
    </row>
    <row r="317">
      <c r="D317" s="147" t="n"/>
      <c r="E317" s="147" t="n"/>
      <c r="F317" s="147" t="n"/>
      <c r="G317" s="147" t="n"/>
      <c r="H317" s="147" t="n"/>
    </row>
    <row r="318">
      <c r="D318" s="147" t="n"/>
      <c r="E318" s="147" t="n"/>
      <c r="F318" s="147" t="n"/>
      <c r="G318" s="147" t="n"/>
      <c r="H318" s="147" t="n"/>
    </row>
    <row r="319">
      <c r="D319" s="147" t="n"/>
      <c r="E319" s="147" t="n"/>
      <c r="F319" s="147" t="n"/>
      <c r="G319" s="147" t="n"/>
      <c r="H319" s="147" t="n"/>
    </row>
    <row r="320">
      <c r="D320" s="147" t="n"/>
      <c r="E320" s="147" t="n"/>
      <c r="F320" s="147" t="n"/>
      <c r="G320" s="147" t="n"/>
      <c r="H320" s="147" t="n"/>
    </row>
    <row r="321">
      <c r="D321" s="147" t="n"/>
      <c r="E321" s="147" t="n"/>
      <c r="F321" s="147" t="n"/>
      <c r="G321" s="147" t="n"/>
      <c r="H321" s="147" t="n"/>
    </row>
    <row r="322">
      <c r="D322" s="147" t="n"/>
      <c r="E322" s="147" t="n"/>
      <c r="F322" s="147" t="n"/>
      <c r="G322" s="147" t="n"/>
      <c r="H322" s="147" t="n"/>
    </row>
    <row r="323">
      <c r="D323" s="147" t="n"/>
      <c r="E323" s="147" t="n"/>
      <c r="F323" s="147" t="n"/>
      <c r="G323" s="147" t="n"/>
      <c r="H323" s="147" t="n"/>
    </row>
    <row r="324">
      <c r="D324" s="147" t="n"/>
      <c r="E324" s="147" t="n"/>
      <c r="F324" s="147" t="n"/>
      <c r="G324" s="147" t="n"/>
      <c r="H324" s="147" t="n"/>
    </row>
    <row r="325">
      <c r="D325" s="147" t="n"/>
      <c r="E325" s="147" t="n"/>
      <c r="F325" s="147" t="n"/>
      <c r="G325" s="147" t="n"/>
      <c r="H325" s="147" t="n"/>
    </row>
    <row r="326">
      <c r="D326" s="147" t="n"/>
      <c r="E326" s="147" t="n"/>
      <c r="F326" s="147" t="n"/>
      <c r="G326" s="147" t="n"/>
      <c r="H326" s="147" t="n"/>
    </row>
    <row r="327">
      <c r="D327" s="147" t="n"/>
      <c r="E327" s="147" t="n"/>
      <c r="F327" s="147" t="n"/>
      <c r="G327" s="147" t="n"/>
      <c r="H327" s="147" t="n"/>
    </row>
    <row r="328">
      <c r="D328" s="147" t="n"/>
      <c r="E328" s="147" t="n"/>
      <c r="F328" s="147" t="n"/>
      <c r="G328" s="147" t="n"/>
      <c r="H328" s="147" t="n"/>
    </row>
    <row r="329">
      <c r="D329" s="147" t="n"/>
      <c r="E329" s="147" t="n"/>
      <c r="F329" s="147" t="n"/>
      <c r="G329" s="147" t="n"/>
      <c r="H329" s="147" t="n"/>
    </row>
    <row r="330">
      <c r="D330" s="147" t="n"/>
      <c r="E330" s="147" t="n"/>
      <c r="F330" s="147" t="n"/>
      <c r="G330" s="147" t="n"/>
      <c r="H330" s="147" t="n"/>
    </row>
    <row r="331">
      <c r="D331" s="147" t="n"/>
      <c r="E331" s="147" t="n"/>
      <c r="F331" s="147" t="n"/>
      <c r="G331" s="147" t="n"/>
      <c r="H331" s="147" t="n"/>
    </row>
    <row r="332">
      <c r="D332" s="147" t="n"/>
      <c r="E332" s="147" t="n"/>
      <c r="F332" s="147" t="n"/>
      <c r="G332" s="147" t="n"/>
      <c r="H332" s="147" t="n"/>
    </row>
    <row r="333">
      <c r="D333" s="147" t="n"/>
      <c r="E333" s="147" t="n"/>
      <c r="F333" s="147" t="n"/>
      <c r="G333" s="147" t="n"/>
      <c r="H333" s="147" t="n"/>
    </row>
    <row r="334">
      <c r="D334" s="147" t="n"/>
      <c r="E334" s="147" t="n"/>
      <c r="F334" s="147" t="n"/>
      <c r="G334" s="147" t="n"/>
      <c r="H334" s="147" t="n"/>
    </row>
    <row r="335">
      <c r="D335" s="147" t="n"/>
      <c r="E335" s="147" t="n"/>
      <c r="F335" s="147" t="n"/>
      <c r="G335" s="147" t="n"/>
      <c r="H335" s="147" t="n"/>
    </row>
    <row r="336">
      <c r="D336" s="147" t="n"/>
      <c r="E336" s="147" t="n"/>
      <c r="F336" s="147" t="n"/>
      <c r="G336" s="147" t="n"/>
      <c r="H336" s="147" t="n"/>
    </row>
    <row r="337">
      <c r="D337" s="147" t="n"/>
      <c r="E337" s="147" t="n"/>
      <c r="F337" s="147" t="n"/>
      <c r="G337" s="147" t="n"/>
      <c r="H337" s="147" t="n"/>
    </row>
    <row r="338">
      <c r="D338" s="147" t="n"/>
      <c r="E338" s="147" t="n"/>
      <c r="F338" s="147" t="n"/>
      <c r="G338" s="147" t="n"/>
      <c r="H338" s="147" t="n"/>
    </row>
    <row r="339">
      <c r="D339" s="147" t="n"/>
      <c r="E339" s="147" t="n"/>
      <c r="F339" s="147" t="n"/>
      <c r="G339" s="147" t="n"/>
      <c r="H339" s="147" t="n"/>
    </row>
    <row r="340">
      <c r="D340" s="147" t="n"/>
      <c r="E340" s="147" t="n"/>
      <c r="F340" s="147" t="n"/>
      <c r="G340" s="147" t="n"/>
      <c r="H340" s="147" t="n"/>
    </row>
    <row r="341">
      <c r="D341" s="147" t="n"/>
      <c r="E341" s="147" t="n"/>
      <c r="F341" s="147" t="n"/>
      <c r="G341" s="147" t="n"/>
      <c r="H341" s="147" t="n"/>
    </row>
    <row r="342">
      <c r="D342" s="147" t="n"/>
      <c r="E342" s="147" t="n"/>
      <c r="F342" s="147" t="n"/>
      <c r="G342" s="147" t="n"/>
      <c r="H342" s="147" t="n"/>
    </row>
    <row r="343">
      <c r="D343" s="147" t="n"/>
      <c r="E343" s="147" t="n"/>
      <c r="F343" s="147" t="n"/>
      <c r="G343" s="147" t="n"/>
      <c r="H343" s="147" t="n"/>
    </row>
    <row r="344">
      <c r="D344" s="147" t="n"/>
      <c r="E344" s="147" t="n"/>
      <c r="F344" s="147" t="n"/>
      <c r="G344" s="147" t="n"/>
      <c r="H344" s="147" t="n"/>
    </row>
    <row r="345">
      <c r="D345" s="147" t="n"/>
      <c r="E345" s="147" t="n"/>
      <c r="F345" s="147" t="n"/>
      <c r="G345" s="147" t="n"/>
      <c r="H345" s="147" t="n"/>
    </row>
    <row r="346">
      <c r="D346" s="147" t="n"/>
      <c r="E346" s="147" t="n"/>
      <c r="F346" s="147" t="n"/>
      <c r="G346" s="147" t="n"/>
      <c r="H346" s="147" t="n"/>
    </row>
    <row r="347">
      <c r="D347" s="147" t="n"/>
      <c r="E347" s="147" t="n"/>
      <c r="F347" s="147" t="n"/>
      <c r="G347" s="147" t="n"/>
      <c r="H347" s="147" t="n"/>
    </row>
    <row r="348">
      <c r="D348" s="147" t="n"/>
      <c r="E348" s="147" t="n"/>
      <c r="F348" s="147" t="n"/>
      <c r="G348" s="147" t="n"/>
      <c r="H348" s="147" t="n"/>
    </row>
    <row r="349">
      <c r="D349" s="147" t="n"/>
      <c r="E349" s="147" t="n"/>
      <c r="F349" s="147" t="n"/>
      <c r="G349" s="147" t="n"/>
      <c r="H349" s="147" t="n"/>
    </row>
    <row r="350">
      <c r="D350" s="147" t="n"/>
      <c r="E350" s="147" t="n"/>
      <c r="F350" s="147" t="n"/>
      <c r="G350" s="147" t="n"/>
      <c r="H350" s="147" t="n"/>
    </row>
    <row r="351">
      <c r="D351" s="147" t="n"/>
      <c r="E351" s="147" t="n"/>
      <c r="F351" s="147" t="n"/>
      <c r="G351" s="147" t="n"/>
      <c r="H351" s="147" t="n"/>
    </row>
    <row r="352">
      <c r="D352" s="147" t="n"/>
      <c r="E352" s="147" t="n"/>
      <c r="F352" s="147" t="n"/>
      <c r="G352" s="147" t="n"/>
      <c r="H352" s="147" t="n"/>
    </row>
    <row r="353">
      <c r="D353" s="147" t="n"/>
      <c r="E353" s="147" t="n"/>
      <c r="F353" s="147" t="n"/>
      <c r="G353" s="147" t="n"/>
      <c r="H353" s="147" t="n"/>
    </row>
    <row r="354">
      <c r="D354" s="147" t="n"/>
      <c r="E354" s="147" t="n"/>
      <c r="F354" s="147" t="n"/>
      <c r="G354" s="147" t="n"/>
      <c r="H354" s="147" t="n"/>
    </row>
    <row r="355">
      <c r="D355" s="147" t="n"/>
      <c r="E355" s="147" t="n"/>
      <c r="F355" s="147" t="n"/>
      <c r="G355" s="147" t="n"/>
      <c r="H355" s="147" t="n"/>
    </row>
    <row r="356">
      <c r="D356" s="147" t="n"/>
      <c r="E356" s="147" t="n"/>
      <c r="F356" s="147" t="n"/>
      <c r="G356" s="147" t="n"/>
      <c r="H356" s="147" t="n"/>
    </row>
    <row r="357">
      <c r="D357" s="147" t="n"/>
      <c r="E357" s="147" t="n"/>
      <c r="F357" s="147" t="n"/>
      <c r="G357" s="147" t="n"/>
      <c r="H357" s="147" t="n"/>
    </row>
    <row r="358">
      <c r="D358" s="147" t="n"/>
      <c r="E358" s="147" t="n"/>
      <c r="F358" s="147" t="n"/>
      <c r="G358" s="147" t="n"/>
      <c r="H358" s="147" t="n"/>
    </row>
    <row r="359">
      <c r="D359" s="147" t="n"/>
      <c r="E359" s="147" t="n"/>
      <c r="F359" s="147" t="n"/>
      <c r="G359" s="147" t="n"/>
      <c r="H359" s="147" t="n"/>
    </row>
    <row r="360">
      <c r="D360" s="147" t="n"/>
      <c r="E360" s="147" t="n"/>
      <c r="F360" s="147" t="n"/>
      <c r="G360" s="147" t="n"/>
      <c r="H360" s="147" t="n"/>
    </row>
    <row r="361">
      <c r="D361" s="147" t="n"/>
      <c r="E361" s="147" t="n"/>
      <c r="F361" s="147" t="n"/>
      <c r="G361" s="147" t="n"/>
      <c r="H361" s="147" t="n"/>
    </row>
    <row r="362">
      <c r="D362" s="147" t="n"/>
      <c r="E362" s="147" t="n"/>
      <c r="F362" s="147" t="n"/>
      <c r="G362" s="147" t="n"/>
      <c r="H362" s="147" t="n"/>
    </row>
    <row r="363">
      <c r="D363" s="147" t="n"/>
      <c r="E363" s="147" t="n"/>
      <c r="F363" s="147" t="n"/>
      <c r="G363" s="147" t="n"/>
      <c r="H363" s="147" t="n"/>
    </row>
    <row r="364">
      <c r="D364" s="147" t="n"/>
      <c r="E364" s="147" t="n"/>
      <c r="F364" s="147" t="n"/>
      <c r="G364" s="147" t="n"/>
      <c r="H364" s="147" t="n"/>
    </row>
    <row r="365">
      <c r="D365" s="147" t="n"/>
      <c r="E365" s="147" t="n"/>
      <c r="F365" s="147" t="n"/>
      <c r="G365" s="147" t="n"/>
      <c r="H365" s="147" t="n"/>
    </row>
    <row r="366">
      <c r="D366" s="147" t="n"/>
      <c r="E366" s="147" t="n"/>
      <c r="F366" s="147" t="n"/>
      <c r="G366" s="147" t="n"/>
      <c r="H366" s="147" t="n"/>
    </row>
    <row r="367">
      <c r="D367" s="147" t="n"/>
      <c r="E367" s="147" t="n"/>
      <c r="F367" s="147" t="n"/>
      <c r="G367" s="147" t="n"/>
      <c r="H367" s="147" t="n"/>
    </row>
    <row r="368">
      <c r="D368" s="147" t="n"/>
      <c r="E368" s="147" t="n"/>
      <c r="F368" s="147" t="n"/>
      <c r="G368" s="147" t="n"/>
      <c r="H368" s="147" t="n"/>
    </row>
    <row r="369">
      <c r="D369" s="147" t="n"/>
      <c r="E369" s="147" t="n"/>
      <c r="F369" s="147" t="n"/>
      <c r="G369" s="147" t="n"/>
      <c r="H369" s="147" t="n"/>
    </row>
    <row r="370">
      <c r="D370" s="147" t="n"/>
      <c r="E370" s="147" t="n"/>
      <c r="F370" s="147" t="n"/>
      <c r="G370" s="147" t="n"/>
      <c r="H370" s="147" t="n"/>
    </row>
    <row r="371">
      <c r="D371" s="147" t="n"/>
      <c r="E371" s="147" t="n"/>
      <c r="F371" s="147" t="n"/>
      <c r="G371" s="147" t="n"/>
      <c r="H371" s="147" t="n"/>
    </row>
    <row r="372">
      <c r="D372" s="147" t="n"/>
      <c r="E372" s="147" t="n"/>
      <c r="F372" s="147" t="n"/>
      <c r="G372" s="147" t="n"/>
      <c r="H372" s="147" t="n"/>
    </row>
    <row r="373">
      <c r="D373" s="147" t="n"/>
      <c r="E373" s="147" t="n"/>
      <c r="F373" s="147" t="n"/>
      <c r="G373" s="147" t="n"/>
      <c r="H373" s="147" t="n"/>
    </row>
    <row r="374">
      <c r="D374" s="147" t="n"/>
      <c r="E374" s="147" t="n"/>
      <c r="F374" s="147" t="n"/>
      <c r="G374" s="147" t="n"/>
      <c r="H374" s="147" t="n"/>
    </row>
    <row r="375">
      <c r="D375" s="147" t="n"/>
      <c r="E375" s="147" t="n"/>
      <c r="F375" s="147" t="n"/>
      <c r="G375" s="147" t="n"/>
      <c r="H375" s="147" t="n"/>
    </row>
    <row r="376">
      <c r="D376" s="147" t="n"/>
      <c r="E376" s="147" t="n"/>
      <c r="F376" s="147" t="n"/>
      <c r="G376" s="147" t="n"/>
      <c r="H376" s="147" t="n"/>
    </row>
    <row r="377">
      <c r="D377" s="147" t="n"/>
      <c r="E377" s="147" t="n"/>
      <c r="F377" s="147" t="n"/>
      <c r="G377" s="147" t="n"/>
      <c r="H377" s="147" t="n"/>
    </row>
    <row r="378">
      <c r="D378" s="147" t="n"/>
      <c r="E378" s="147" t="n"/>
      <c r="F378" s="147" t="n"/>
      <c r="G378" s="147" t="n"/>
      <c r="H378" s="147" t="n"/>
    </row>
    <row r="379">
      <c r="D379" s="147" t="n"/>
      <c r="E379" s="147" t="n"/>
      <c r="F379" s="147" t="n"/>
      <c r="G379" s="147" t="n"/>
      <c r="H379" s="147" t="n"/>
    </row>
    <row r="380">
      <c r="D380" s="147" t="n"/>
      <c r="E380" s="147" t="n"/>
      <c r="F380" s="147" t="n"/>
      <c r="G380" s="147" t="n"/>
      <c r="H380" s="147" t="n"/>
    </row>
    <row r="381">
      <c r="D381" s="147" t="n"/>
      <c r="E381" s="147" t="n"/>
      <c r="F381" s="147" t="n"/>
      <c r="G381" s="147" t="n"/>
      <c r="H381" s="147" t="n"/>
    </row>
    <row r="382">
      <c r="D382" s="147" t="n"/>
      <c r="E382" s="147" t="n"/>
      <c r="F382" s="147" t="n"/>
      <c r="G382" s="147" t="n"/>
      <c r="H382" s="147" t="n"/>
    </row>
    <row r="383">
      <c r="D383" s="147" t="n"/>
      <c r="E383" s="147" t="n"/>
      <c r="F383" s="147" t="n"/>
      <c r="G383" s="147" t="n"/>
      <c r="H383" s="147" t="n"/>
    </row>
    <row r="384">
      <c r="D384" s="147" t="n"/>
      <c r="E384" s="147" t="n"/>
      <c r="F384" s="147" t="n"/>
      <c r="G384" s="147" t="n"/>
      <c r="H384" s="147" t="n"/>
    </row>
    <row r="385">
      <c r="D385" s="147" t="n"/>
      <c r="E385" s="147" t="n"/>
      <c r="F385" s="147" t="n"/>
      <c r="G385" s="147" t="n"/>
      <c r="H385" s="147" t="n"/>
    </row>
    <row r="386">
      <c r="D386" s="147" t="n"/>
      <c r="E386" s="147" t="n"/>
      <c r="F386" s="147" t="n"/>
      <c r="G386" s="147" t="n"/>
      <c r="H386" s="147" t="n"/>
    </row>
    <row r="387">
      <c r="D387" s="147" t="n"/>
      <c r="E387" s="147" t="n"/>
      <c r="F387" s="147" t="n"/>
      <c r="G387" s="147" t="n"/>
      <c r="H387" s="147" t="n"/>
    </row>
    <row r="388">
      <c r="D388" s="147" t="n"/>
      <c r="E388" s="147" t="n"/>
      <c r="F388" s="147" t="n"/>
      <c r="G388" s="147" t="n"/>
      <c r="H388" s="147" t="n"/>
    </row>
    <row r="389">
      <c r="D389" s="147" t="n"/>
      <c r="E389" s="147" t="n"/>
      <c r="F389" s="147" t="n"/>
      <c r="G389" s="147" t="n"/>
      <c r="H389" s="147" t="n"/>
    </row>
    <row r="390">
      <c r="D390" s="147" t="n"/>
      <c r="E390" s="147" t="n"/>
      <c r="F390" s="147" t="n"/>
      <c r="G390" s="147" t="n"/>
      <c r="H390" s="147" t="n"/>
    </row>
    <row r="391">
      <c r="D391" s="147" t="n"/>
      <c r="E391" s="147" t="n"/>
      <c r="F391" s="147" t="n"/>
      <c r="G391" s="147" t="n"/>
      <c r="H391" s="147" t="n"/>
    </row>
    <row r="392">
      <c r="D392" s="147" t="n"/>
      <c r="E392" s="147" t="n"/>
      <c r="F392" s="147" t="n"/>
      <c r="G392" s="147" t="n"/>
      <c r="H392" s="147" t="n"/>
    </row>
    <row r="393">
      <c r="D393" s="147" t="n"/>
      <c r="E393" s="147" t="n"/>
      <c r="F393" s="147" t="n"/>
      <c r="G393" s="147" t="n"/>
      <c r="H393" s="147" t="n"/>
    </row>
    <row r="394">
      <c r="D394" s="147" t="n"/>
      <c r="E394" s="147" t="n"/>
      <c r="F394" s="147" t="n"/>
      <c r="G394" s="147" t="n"/>
      <c r="H394" s="147" t="n"/>
    </row>
    <row r="395">
      <c r="D395" s="147" t="n"/>
      <c r="E395" s="147" t="n"/>
      <c r="F395" s="147" t="n"/>
      <c r="G395" s="147" t="n"/>
      <c r="H395" s="147" t="n"/>
    </row>
    <row r="396">
      <c r="D396" s="147" t="n"/>
      <c r="E396" s="147" t="n"/>
      <c r="F396" s="147" t="n"/>
      <c r="G396" s="147" t="n"/>
      <c r="H396" s="147" t="n"/>
    </row>
    <row r="397">
      <c r="D397" s="147" t="n"/>
      <c r="E397" s="147" t="n"/>
      <c r="F397" s="147" t="n"/>
      <c r="G397" s="147" t="n"/>
      <c r="H397" s="147" t="n"/>
    </row>
    <row r="398">
      <c r="D398" s="147" t="n"/>
      <c r="E398" s="147" t="n"/>
      <c r="F398" s="147" t="n"/>
      <c r="G398" s="147" t="n"/>
      <c r="H398" s="147" t="n"/>
    </row>
    <row r="399">
      <c r="D399" s="147" t="n"/>
      <c r="E399" s="147" t="n"/>
      <c r="F399" s="147" t="n"/>
      <c r="G399" s="147" t="n"/>
      <c r="H399" s="147" t="n"/>
    </row>
    <row r="400">
      <c r="D400" s="147" t="n"/>
      <c r="E400" s="147" t="n"/>
      <c r="F400" s="147" t="n"/>
      <c r="G400" s="147" t="n"/>
      <c r="H400" s="147" t="n"/>
    </row>
    <row r="401">
      <c r="D401" s="147" t="n"/>
      <c r="E401" s="147" t="n"/>
      <c r="F401" s="147" t="n"/>
      <c r="G401" s="147" t="n"/>
      <c r="H401" s="147" t="n"/>
    </row>
    <row r="402">
      <c r="D402" s="147" t="n"/>
      <c r="E402" s="147" t="n"/>
      <c r="F402" s="147" t="n"/>
      <c r="G402" s="147" t="n"/>
      <c r="H402" s="147" t="n"/>
    </row>
    <row r="403">
      <c r="D403" s="147" t="n"/>
      <c r="E403" s="147" t="n"/>
      <c r="F403" s="147" t="n"/>
      <c r="G403" s="147" t="n"/>
      <c r="H403" s="147" t="n"/>
    </row>
    <row r="404">
      <c r="D404" s="147" t="n"/>
      <c r="E404" s="147" t="n"/>
      <c r="F404" s="147" t="n"/>
      <c r="G404" s="147" t="n"/>
      <c r="H404" s="147" t="n"/>
    </row>
    <row r="405">
      <c r="D405" s="147" t="n"/>
      <c r="E405" s="147" t="n"/>
      <c r="F405" s="147" t="n"/>
      <c r="G405" s="147" t="n"/>
      <c r="H405" s="147" t="n"/>
    </row>
    <row r="406">
      <c r="D406" s="147" t="n"/>
      <c r="E406" s="147" t="n"/>
      <c r="F406" s="147" t="n"/>
      <c r="G406" s="147" t="n"/>
      <c r="H406" s="147" t="n"/>
    </row>
    <row r="407">
      <c r="D407" s="147" t="n"/>
      <c r="E407" s="147" t="n"/>
      <c r="F407" s="147" t="n"/>
      <c r="G407" s="147" t="n"/>
      <c r="H407" s="147" t="n"/>
    </row>
    <row r="408">
      <c r="D408" s="147" t="n"/>
      <c r="E408" s="147" t="n"/>
      <c r="F408" s="147" t="n"/>
      <c r="G408" s="147" t="n"/>
      <c r="H408" s="147" t="n"/>
    </row>
    <row r="409">
      <c r="D409" s="147" t="n"/>
      <c r="E409" s="147" t="n"/>
      <c r="F409" s="147" t="n"/>
      <c r="G409" s="147" t="n"/>
      <c r="H409" s="147" t="n"/>
    </row>
    <row r="410">
      <c r="D410" s="147" t="n"/>
      <c r="E410" s="147" t="n"/>
      <c r="F410" s="147" t="n"/>
      <c r="G410" s="147" t="n"/>
      <c r="H410" s="147" t="n"/>
    </row>
    <row r="411">
      <c r="D411" s="147" t="n"/>
      <c r="E411" s="147" t="n"/>
      <c r="F411" s="147" t="n"/>
      <c r="G411" s="147" t="n"/>
      <c r="H411" s="147" t="n"/>
    </row>
    <row r="412">
      <c r="D412" s="147" t="n"/>
      <c r="E412" s="147" t="n"/>
      <c r="F412" s="147" t="n"/>
      <c r="G412" s="147" t="n"/>
      <c r="H412" s="147" t="n"/>
    </row>
    <row r="413">
      <c r="D413" s="147" t="n"/>
      <c r="E413" s="147" t="n"/>
      <c r="F413" s="147" t="n"/>
      <c r="G413" s="147" t="n"/>
      <c r="H413" s="147" t="n"/>
    </row>
    <row r="414">
      <c r="D414" s="147" t="n"/>
      <c r="E414" s="147" t="n"/>
      <c r="F414" s="147" t="n"/>
      <c r="G414" s="147" t="n"/>
      <c r="H414" s="147" t="n"/>
    </row>
    <row r="415">
      <c r="D415" s="147" t="n"/>
      <c r="E415" s="147" t="n"/>
      <c r="F415" s="147" t="n"/>
      <c r="G415" s="147" t="n"/>
      <c r="H415" s="147" t="n"/>
    </row>
    <row r="416">
      <c r="D416" s="147" t="n"/>
      <c r="E416" s="147" t="n"/>
      <c r="F416" s="147" t="n"/>
      <c r="G416" s="147" t="n"/>
      <c r="H416" s="147" t="n"/>
    </row>
    <row r="417">
      <c r="D417" s="147" t="n"/>
      <c r="E417" s="147" t="n"/>
      <c r="F417" s="147" t="n"/>
      <c r="G417" s="147" t="n"/>
      <c r="H417" s="147" t="n"/>
    </row>
    <row r="418">
      <c r="D418" s="147" t="n"/>
      <c r="E418" s="147" t="n"/>
      <c r="F418" s="147" t="n"/>
      <c r="G418" s="147" t="n"/>
      <c r="H418" s="147" t="n"/>
    </row>
    <row r="419">
      <c r="D419" s="147" t="n"/>
      <c r="E419" s="147" t="n"/>
      <c r="F419" s="147" t="n"/>
      <c r="G419" s="147" t="n"/>
      <c r="H419" s="147" t="n"/>
    </row>
    <row r="420">
      <c r="D420" s="147" t="n"/>
      <c r="E420" s="147" t="n"/>
      <c r="F420" s="147" t="n"/>
      <c r="G420" s="147" t="n"/>
      <c r="H420" s="147" t="n"/>
    </row>
    <row r="421">
      <c r="D421" s="147" t="n"/>
      <c r="E421" s="147" t="n"/>
      <c r="F421" s="147" t="n"/>
      <c r="G421" s="147" t="n"/>
      <c r="H421" s="147" t="n"/>
    </row>
    <row r="422">
      <c r="D422" s="147" t="n"/>
      <c r="E422" s="147" t="n"/>
      <c r="F422" s="147" t="n"/>
      <c r="G422" s="147" t="n"/>
      <c r="H422" s="147" t="n"/>
    </row>
    <row r="423">
      <c r="D423" s="147" t="n"/>
      <c r="E423" s="147" t="n"/>
      <c r="F423" s="147" t="n"/>
      <c r="G423" s="147" t="n"/>
      <c r="H423" s="147" t="n"/>
    </row>
    <row r="424">
      <c r="D424" s="147" t="n"/>
      <c r="E424" s="147" t="n"/>
      <c r="F424" s="147" t="n"/>
      <c r="G424" s="147" t="n"/>
      <c r="H424" s="147" t="n"/>
    </row>
    <row r="425">
      <c r="D425" s="147" t="n"/>
      <c r="E425" s="147" t="n"/>
      <c r="F425" s="147" t="n"/>
      <c r="G425" s="147" t="n"/>
      <c r="H425" s="147" t="n"/>
    </row>
    <row r="426">
      <c r="D426" s="147" t="n"/>
      <c r="E426" s="147" t="n"/>
      <c r="F426" s="147" t="n"/>
      <c r="G426" s="147" t="n"/>
      <c r="H426" s="147" t="n"/>
    </row>
  </sheetData>
  <mergeCells count="148">
    <mergeCell ref="A64:B64"/>
    <mergeCell ref="A98:B98"/>
    <mergeCell ref="A73:B73"/>
    <mergeCell ref="A51:B51"/>
    <mergeCell ref="A107:B107"/>
    <mergeCell ref="A88:B88"/>
    <mergeCell ref="A70:B70"/>
    <mergeCell ref="A162:B162"/>
    <mergeCell ref="A54:B54"/>
    <mergeCell ref="A172:B172"/>
    <mergeCell ref="A90:B90"/>
    <mergeCell ref="A41:B41"/>
    <mergeCell ref="A99:B99"/>
    <mergeCell ref="A164:B164"/>
    <mergeCell ref="A74:B74"/>
    <mergeCell ref="A56:B56"/>
    <mergeCell ref="A27:B27"/>
    <mergeCell ref="A154:B154"/>
    <mergeCell ref="A163:B163"/>
    <mergeCell ref="A101:B101"/>
    <mergeCell ref="A76:B76"/>
    <mergeCell ref="A33:B33"/>
    <mergeCell ref="A85:B85"/>
    <mergeCell ref="A42:B42"/>
    <mergeCell ref="A126:B126"/>
    <mergeCell ref="A140:B140"/>
    <mergeCell ref="A53:B53"/>
    <mergeCell ref="A109:B109"/>
    <mergeCell ref="A35:B35"/>
    <mergeCell ref="A62:B62"/>
    <mergeCell ref="A68:B68"/>
    <mergeCell ref="A117:B117"/>
    <mergeCell ref="A111:B111"/>
    <mergeCell ref="A39:B39"/>
    <mergeCell ref="A167:B167"/>
    <mergeCell ref="A48:B48"/>
    <mergeCell ref="A30:B30"/>
    <mergeCell ref="A59:B59"/>
    <mergeCell ref="A142:B142"/>
    <mergeCell ref="A103:B103"/>
    <mergeCell ref="A45:B45"/>
    <mergeCell ref="A169:B169"/>
    <mergeCell ref="A79:B79"/>
    <mergeCell ref="A61:B61"/>
    <mergeCell ref="A87:B87"/>
    <mergeCell ref="A153:B153"/>
    <mergeCell ref="A128:B128"/>
    <mergeCell ref="A137:B137"/>
    <mergeCell ref="A46:B46"/>
    <mergeCell ref="A37:B37"/>
    <mergeCell ref="A89:B89"/>
    <mergeCell ref="A136:B136"/>
    <mergeCell ref="A105:B105"/>
    <mergeCell ref="A145:B145"/>
    <mergeCell ref="A139:B139"/>
    <mergeCell ref="A129:B129"/>
    <mergeCell ref="A71:B71"/>
    <mergeCell ref="A116:B116"/>
    <mergeCell ref="A91:B91"/>
    <mergeCell ref="A131:B131"/>
    <mergeCell ref="A100:B100"/>
    <mergeCell ref="A171:B171"/>
    <mergeCell ref="A165:B165"/>
    <mergeCell ref="A52:B52"/>
    <mergeCell ref="A63:B63"/>
    <mergeCell ref="A155:B155"/>
    <mergeCell ref="A115:B115"/>
    <mergeCell ref="A93:B93"/>
    <mergeCell ref="A102:B102"/>
    <mergeCell ref="A173:B173"/>
    <mergeCell ref="A77:B77"/>
    <mergeCell ref="A34:B34"/>
    <mergeCell ref="A83:B83"/>
    <mergeCell ref="A143:B143"/>
    <mergeCell ref="A92:B92"/>
    <mergeCell ref="A157:B157"/>
    <mergeCell ref="A166:B166"/>
    <mergeCell ref="A49:B49"/>
    <mergeCell ref="A36:B36"/>
    <mergeCell ref="A119:B119"/>
    <mergeCell ref="A94:B94"/>
    <mergeCell ref="A168:B168"/>
    <mergeCell ref="A69:B69"/>
    <mergeCell ref="A78:B78"/>
    <mergeCell ref="A65:B65"/>
    <mergeCell ref="A133:B133"/>
    <mergeCell ref="A75:B75"/>
    <mergeCell ref="A80:B80"/>
    <mergeCell ref="A120:B120"/>
    <mergeCell ref="A55:B55"/>
    <mergeCell ref="A104:B104"/>
    <mergeCell ref="A57:B57"/>
    <mergeCell ref="A113:B113"/>
    <mergeCell ref="A32:B32"/>
    <mergeCell ref="A106:B106"/>
    <mergeCell ref="A96:B96"/>
    <mergeCell ref="A38:B38"/>
    <mergeCell ref="A147:B147"/>
    <mergeCell ref="A156:B156"/>
    <mergeCell ref="A43:B43"/>
    <mergeCell ref="A170:B170"/>
    <mergeCell ref="A40:B40"/>
    <mergeCell ref="A67:B67"/>
    <mergeCell ref="A130:B130"/>
    <mergeCell ref="A148:B148"/>
    <mergeCell ref="A82:B82"/>
    <mergeCell ref="A60:B60"/>
    <mergeCell ref="A123:B123"/>
    <mergeCell ref="A138:B138"/>
    <mergeCell ref="A132:B132"/>
    <mergeCell ref="A1:H1"/>
    <mergeCell ref="A110:B110"/>
    <mergeCell ref="A146:B146"/>
    <mergeCell ref="A124:B124"/>
    <mergeCell ref="A174:B174"/>
    <mergeCell ref="A108:B108"/>
    <mergeCell ref="A84:B84"/>
    <mergeCell ref="A66:B66"/>
    <mergeCell ref="A149:B149"/>
    <mergeCell ref="A118:B118"/>
    <mergeCell ref="A158:B158"/>
    <mergeCell ref="A50:B50"/>
    <mergeCell ref="A86:B86"/>
    <mergeCell ref="A95:B95"/>
    <mergeCell ref="A151:B151"/>
    <mergeCell ref="A160:B160"/>
    <mergeCell ref="A47:B47"/>
    <mergeCell ref="A141:B141"/>
    <mergeCell ref="A135:B135"/>
    <mergeCell ref="A150:B150"/>
    <mergeCell ref="A144:B144"/>
    <mergeCell ref="A159:B159"/>
    <mergeCell ref="A122:B122"/>
    <mergeCell ref="A97:B97"/>
    <mergeCell ref="A125:B125"/>
    <mergeCell ref="A72:B72"/>
    <mergeCell ref="A29:B29"/>
    <mergeCell ref="A134:B134"/>
    <mergeCell ref="A112:B112"/>
    <mergeCell ref="A81:B81"/>
    <mergeCell ref="A152:B152"/>
    <mergeCell ref="A121:B121"/>
    <mergeCell ref="A161:B161"/>
    <mergeCell ref="A44:B44"/>
    <mergeCell ref="A127:B127"/>
    <mergeCell ref="A31:B31"/>
    <mergeCell ref="A58:B58"/>
    <mergeCell ref="A114:B114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54"/>
  <sheetViews>
    <sheetView showGridLines="0" topLeftCell="A233" workbookViewId="0">
      <selection activeCell="A254" sqref="A254:B254"/>
    </sheetView>
  </sheetViews>
  <sheetFormatPr baseColWidth="8" defaultRowHeight="13.8"/>
  <cols>
    <col width="32" customWidth="1" style="51" min="1" max="1"/>
    <col width="14" customWidth="1" style="51" min="2" max="3"/>
    <col width="13" customWidth="1" style="51" min="4" max="4"/>
    <col width="10" customWidth="1" style="51" min="5" max="15"/>
    <col width="13" customWidth="1" style="51" min="16" max="16"/>
    <col width="8.88671875" customWidth="1" style="51" min="17" max="16384"/>
  </cols>
  <sheetData>
    <row r="1" ht="25.95" customHeight="1" s="1">
      <c r="A1" s="25" t="inlineStr">
        <is>
          <t>NORCO / Vestwoods Egypt — Staffing Plan &amp; Monthly Payroll (USD)</t>
        </is>
      </c>
    </row>
    <row r="2" ht="16.05" customHeight="1" s="1">
      <c r="A2" s="27" t="inlineStr">
        <is>
          <t>Phased hiring plan | Base salaries (pre-15% benefits) | Year 1 monthly detail | Years 2-5 annual summary</t>
        </is>
      </c>
    </row>
    <row r="3" ht="6" customHeight="1" s="1"/>
    <row r="4" ht="26.4" customHeight="1" s="1">
      <c r="A4" s="28" t="inlineStr">
        <is>
          <t>ROLE</t>
        </is>
      </c>
      <c r="B4" s="52" t="inlineStr">
        <is>
          <t>Monthly
Salary (USD)</t>
        </is>
      </c>
      <c r="C4" s="52" t="inlineStr">
        <is>
          <t>Aug-26</t>
        </is>
      </c>
      <c r="D4" s="52" t="inlineStr">
        <is>
          <t>Sep-26</t>
        </is>
      </c>
      <c r="E4" s="52" t="inlineStr">
        <is>
          <t>Oct-26</t>
        </is>
      </c>
      <c r="F4" s="52" t="inlineStr">
        <is>
          <t>Nov-26</t>
        </is>
      </c>
      <c r="G4" s="52" t="inlineStr">
        <is>
          <t>Dec-26</t>
        </is>
      </c>
      <c r="H4" s="52" t="inlineStr">
        <is>
          <t>Jan-27</t>
        </is>
      </c>
      <c r="I4" s="52" t="inlineStr">
        <is>
          <t>Feb-27</t>
        </is>
      </c>
      <c r="J4" s="52" t="inlineStr">
        <is>
          <t>Mar-27</t>
        </is>
      </c>
      <c r="K4" s="52" t="inlineStr">
        <is>
          <t>Apr-27</t>
        </is>
      </c>
      <c r="L4" s="52" t="inlineStr">
        <is>
          <t>May-27</t>
        </is>
      </c>
      <c r="M4" s="52" t="inlineStr">
        <is>
          <t>Jun-27</t>
        </is>
      </c>
      <c r="N4" s="52" t="inlineStr">
        <is>
          <t>Jul-27</t>
        </is>
      </c>
      <c r="O4" s="30" t="inlineStr">
        <is>
          <t>Y1 Total</t>
        </is>
      </c>
    </row>
    <row r="5">
      <c r="A5" s="31" t="inlineStr">
        <is>
          <t>CEO / Director</t>
        </is>
      </c>
      <c r="B5" s="32" t="n">
        <v>8000</v>
      </c>
      <c r="C5" s="33" t="n">
        <v>8000</v>
      </c>
      <c r="D5" s="33" t="n">
        <v>8000</v>
      </c>
      <c r="E5" s="33" t="n">
        <v>8000</v>
      </c>
      <c r="F5" s="33" t="n">
        <v>8000</v>
      </c>
      <c r="G5" s="33" t="n">
        <v>8000</v>
      </c>
      <c r="H5" s="33" t="n">
        <v>8000</v>
      </c>
      <c r="I5" s="33" t="n">
        <v>8000</v>
      </c>
      <c r="J5" s="33" t="n">
        <v>8000</v>
      </c>
      <c r="K5" s="33" t="n">
        <v>8000</v>
      </c>
      <c r="L5" s="33" t="n">
        <v>8000</v>
      </c>
      <c r="M5" s="33" t="n">
        <v>8000</v>
      </c>
      <c r="N5" s="33" t="n">
        <v>8000</v>
      </c>
      <c r="O5" s="34">
        <f>SUM(C5:N5)</f>
        <v/>
      </c>
    </row>
    <row r="6">
      <c r="A6" s="35" t="inlineStr">
        <is>
          <t>Financial Manager</t>
        </is>
      </c>
      <c r="B6" s="36" t="n">
        <v>4000</v>
      </c>
      <c r="C6" s="37" t="n">
        <v>4000</v>
      </c>
      <c r="D6" s="37" t="n">
        <v>4000</v>
      </c>
      <c r="E6" s="37" t="n">
        <v>4000</v>
      </c>
      <c r="F6" s="37" t="n">
        <v>4000</v>
      </c>
      <c r="G6" s="37" t="n">
        <v>4000</v>
      </c>
      <c r="H6" s="37" t="n">
        <v>4000</v>
      </c>
      <c r="I6" s="37" t="n">
        <v>4000</v>
      </c>
      <c r="J6" s="37" t="n">
        <v>4000</v>
      </c>
      <c r="K6" s="37" t="n">
        <v>4000</v>
      </c>
      <c r="L6" s="37" t="n">
        <v>4000</v>
      </c>
      <c r="M6" s="37" t="n">
        <v>4000</v>
      </c>
      <c r="N6" s="37" t="n">
        <v>4000</v>
      </c>
      <c r="O6" s="34">
        <f>SUM(C6:N6)</f>
        <v/>
      </c>
    </row>
    <row r="7">
      <c r="A7" s="31" t="inlineStr">
        <is>
          <t>Operations Manager</t>
        </is>
      </c>
      <c r="B7" s="32" t="n">
        <v>4000</v>
      </c>
      <c r="C7" s="33" t="n">
        <v>4000</v>
      </c>
      <c r="D7" s="33" t="n">
        <v>4000</v>
      </c>
      <c r="E7" s="33" t="n">
        <v>4000</v>
      </c>
      <c r="F7" s="33" t="n">
        <v>4000</v>
      </c>
      <c r="G7" s="33" t="n">
        <v>4000</v>
      </c>
      <c r="H7" s="33" t="n">
        <v>4000</v>
      </c>
      <c r="I7" s="33" t="n">
        <v>4000</v>
      </c>
      <c r="J7" s="33" t="n">
        <v>4000</v>
      </c>
      <c r="K7" s="33" t="n">
        <v>4000</v>
      </c>
      <c r="L7" s="33" t="n">
        <v>4000</v>
      </c>
      <c r="M7" s="33" t="n">
        <v>4000</v>
      </c>
      <c r="N7" s="33" t="n">
        <v>4000</v>
      </c>
      <c r="O7" s="34">
        <f>SUM(C7:N7)</f>
        <v/>
      </c>
    </row>
    <row r="8">
      <c r="A8" s="35" t="inlineStr">
        <is>
          <t>Marketing Manager</t>
        </is>
      </c>
      <c r="B8" s="36" t="n">
        <v>1500</v>
      </c>
      <c r="C8" s="38" t="inlineStr">
        <is>
          <t>–</t>
        </is>
      </c>
      <c r="D8" s="38" t="inlineStr">
        <is>
          <t>–</t>
        </is>
      </c>
      <c r="E8" s="37" t="n">
        <v>1500</v>
      </c>
      <c r="F8" s="37" t="n">
        <v>1500</v>
      </c>
      <c r="G8" s="37" t="n">
        <v>1500</v>
      </c>
      <c r="H8" s="37" t="n">
        <v>1500</v>
      </c>
      <c r="I8" s="37" t="n">
        <v>1500</v>
      </c>
      <c r="J8" s="37" t="n">
        <v>1500</v>
      </c>
      <c r="K8" s="37" t="n">
        <v>1500</v>
      </c>
      <c r="L8" s="37" t="n">
        <v>1500</v>
      </c>
      <c r="M8" s="37" t="n">
        <v>1500</v>
      </c>
      <c r="N8" s="37" t="n">
        <v>1500</v>
      </c>
      <c r="O8" s="34">
        <f>SUM(C8:N8)</f>
        <v/>
      </c>
    </row>
    <row r="9">
      <c r="A9" s="31" t="inlineStr">
        <is>
          <t>HR Manager</t>
        </is>
      </c>
      <c r="B9" s="32" t="n">
        <v>1000</v>
      </c>
      <c r="C9" s="39" t="inlineStr">
        <is>
          <t>–</t>
        </is>
      </c>
      <c r="D9" s="39" t="inlineStr">
        <is>
          <t>–</t>
        </is>
      </c>
      <c r="E9" s="33" t="n">
        <v>1000</v>
      </c>
      <c r="F9" s="33" t="n">
        <v>1000</v>
      </c>
      <c r="G9" s="33" t="n">
        <v>1000</v>
      </c>
      <c r="H9" s="33" t="n">
        <v>1000</v>
      </c>
      <c r="I9" s="33" t="n">
        <v>1000</v>
      </c>
      <c r="J9" s="33" t="n">
        <v>1000</v>
      </c>
      <c r="K9" s="33" t="n">
        <v>1000</v>
      </c>
      <c r="L9" s="33" t="n">
        <v>1000</v>
      </c>
      <c r="M9" s="33" t="n">
        <v>1000</v>
      </c>
      <c r="N9" s="33" t="n">
        <v>1000</v>
      </c>
      <c r="O9" s="34">
        <f>SUM(C9:N9)</f>
        <v/>
      </c>
    </row>
    <row r="10">
      <c r="A10" s="35" t="inlineStr">
        <is>
          <t>Sales Manager</t>
        </is>
      </c>
      <c r="B10" s="36" t="n">
        <v>3000</v>
      </c>
      <c r="C10" s="38" t="inlineStr">
        <is>
          <t>–</t>
        </is>
      </c>
      <c r="D10" s="37" t="n">
        <v>3000</v>
      </c>
      <c r="E10" s="37" t="n">
        <v>3000</v>
      </c>
      <c r="F10" s="37" t="n">
        <v>3000</v>
      </c>
      <c r="G10" s="37" t="n">
        <v>3000</v>
      </c>
      <c r="H10" s="37" t="n">
        <v>3000</v>
      </c>
      <c r="I10" s="37" t="n">
        <v>3000</v>
      </c>
      <c r="J10" s="37" t="n">
        <v>3000</v>
      </c>
      <c r="K10" s="37" t="n">
        <v>3000</v>
      </c>
      <c r="L10" s="37" t="n">
        <v>3000</v>
      </c>
      <c r="M10" s="37" t="n">
        <v>3000</v>
      </c>
      <c r="N10" s="37" t="n">
        <v>3000</v>
      </c>
      <c r="O10" s="34">
        <f>SUM(C10:N10)</f>
        <v/>
      </c>
    </row>
    <row r="11">
      <c r="A11" s="31" t="inlineStr">
        <is>
          <t>Warehouse Manager</t>
        </is>
      </c>
      <c r="B11" s="32" t="n">
        <v>1200</v>
      </c>
      <c r="C11" s="33" t="n">
        <v>1200</v>
      </c>
      <c r="D11" s="33" t="n">
        <v>1200</v>
      </c>
      <c r="E11" s="33" t="n">
        <v>1200</v>
      </c>
      <c r="F11" s="33" t="n">
        <v>1200</v>
      </c>
      <c r="G11" s="33" t="n">
        <v>1200</v>
      </c>
      <c r="H11" s="33" t="n">
        <v>1200</v>
      </c>
      <c r="I11" s="33" t="n">
        <v>1200</v>
      </c>
      <c r="J11" s="33" t="n">
        <v>1200</v>
      </c>
      <c r="K11" s="33" t="n">
        <v>1200</v>
      </c>
      <c r="L11" s="33" t="n">
        <v>1200</v>
      </c>
      <c r="M11" s="33" t="n">
        <v>1200</v>
      </c>
      <c r="N11" s="33" t="n">
        <v>1200</v>
      </c>
      <c r="O11" s="34">
        <f>SUM(C11:N11)</f>
        <v/>
      </c>
    </row>
    <row r="12">
      <c r="A12" s="35" t="inlineStr">
        <is>
          <t>Accountant #1</t>
        </is>
      </c>
      <c r="B12" s="36" t="n">
        <v>800</v>
      </c>
      <c r="C12" s="38" t="inlineStr">
        <is>
          <t>–</t>
        </is>
      </c>
      <c r="D12" s="37" t="n">
        <v>800</v>
      </c>
      <c r="E12" s="37" t="n">
        <v>800</v>
      </c>
      <c r="F12" s="37" t="n">
        <v>800</v>
      </c>
      <c r="G12" s="37" t="n">
        <v>800</v>
      </c>
      <c r="H12" s="37" t="n">
        <v>800</v>
      </c>
      <c r="I12" s="37" t="n">
        <v>800</v>
      </c>
      <c r="J12" s="37" t="n">
        <v>800</v>
      </c>
      <c r="K12" s="37" t="n">
        <v>800</v>
      </c>
      <c r="L12" s="37" t="n">
        <v>800</v>
      </c>
      <c r="M12" s="37" t="n">
        <v>800</v>
      </c>
      <c r="N12" s="37" t="n">
        <v>800</v>
      </c>
      <c r="O12" s="34">
        <f>SUM(C12:N12)</f>
        <v/>
      </c>
    </row>
    <row r="13">
      <c r="A13" s="31" t="inlineStr">
        <is>
          <t>Accountant #2</t>
        </is>
      </c>
      <c r="B13" s="32" t="n">
        <v>800</v>
      </c>
      <c r="C13" s="39" t="inlineStr">
        <is>
          <t>–</t>
        </is>
      </c>
      <c r="D13" s="39" t="inlineStr">
        <is>
          <t>–</t>
        </is>
      </c>
      <c r="E13" s="39" t="inlineStr">
        <is>
          <t>–</t>
        </is>
      </c>
      <c r="F13" s="39" t="inlineStr">
        <is>
          <t>–</t>
        </is>
      </c>
      <c r="G13" s="39" t="inlineStr">
        <is>
          <t>–</t>
        </is>
      </c>
      <c r="H13" s="39" t="inlineStr">
        <is>
          <t>–</t>
        </is>
      </c>
      <c r="I13" s="39" t="inlineStr">
        <is>
          <t>–</t>
        </is>
      </c>
      <c r="J13" s="33" t="n">
        <v>800</v>
      </c>
      <c r="K13" s="33" t="n">
        <v>800</v>
      </c>
      <c r="L13" s="33" t="n">
        <v>800</v>
      </c>
      <c r="M13" s="33" t="n">
        <v>800</v>
      </c>
      <c r="N13" s="33" t="n">
        <v>800</v>
      </c>
      <c r="O13" s="34">
        <f>SUM(C13:N13)</f>
        <v/>
      </c>
    </row>
    <row r="14">
      <c r="A14" s="35" t="inlineStr">
        <is>
          <t>Showroom Manager #1</t>
        </is>
      </c>
      <c r="B14" s="36" t="n">
        <v>500</v>
      </c>
      <c r="C14" s="37" t="n">
        <v>500</v>
      </c>
      <c r="D14" s="37" t="n">
        <v>500</v>
      </c>
      <c r="E14" s="37" t="n">
        <v>500</v>
      </c>
      <c r="F14" s="37" t="n">
        <v>500</v>
      </c>
      <c r="G14" s="37" t="n">
        <v>500</v>
      </c>
      <c r="H14" s="37" t="n">
        <v>500</v>
      </c>
      <c r="I14" s="37" t="n">
        <v>500</v>
      </c>
      <c r="J14" s="37" t="n">
        <v>500</v>
      </c>
      <c r="K14" s="37" t="n">
        <v>500</v>
      </c>
      <c r="L14" s="37" t="n">
        <v>500</v>
      </c>
      <c r="M14" s="37" t="n">
        <v>500</v>
      </c>
      <c r="N14" s="37" t="n">
        <v>500</v>
      </c>
      <c r="O14" s="34">
        <f>SUM(C14:N14)</f>
        <v/>
      </c>
    </row>
    <row r="15">
      <c r="A15" s="266" t="inlineStr">
        <is>
          <t>Showroom Manager #2</t>
        </is>
      </c>
      <c r="B15" s="32" t="n">
        <v>800</v>
      </c>
      <c r="C15" s="39" t="n"/>
      <c r="D15" s="33" t="n">
        <v>800</v>
      </c>
      <c r="E15" s="33" t="n">
        <v>800</v>
      </c>
      <c r="F15" s="33" t="n">
        <v>800</v>
      </c>
      <c r="G15" s="33" t="n">
        <v>800</v>
      </c>
      <c r="H15" s="33" t="n">
        <v>800</v>
      </c>
      <c r="I15" s="33" t="n">
        <v>800</v>
      </c>
      <c r="J15" s="33" t="n">
        <v>800</v>
      </c>
      <c r="K15" s="33" t="n">
        <v>800</v>
      </c>
      <c r="L15" s="33" t="n">
        <v>800</v>
      </c>
      <c r="M15" s="33" t="n">
        <v>800</v>
      </c>
      <c r="N15" s="33" t="n">
        <v>800</v>
      </c>
      <c r="O15" s="34">
        <f>SUM(C15:N15)</f>
        <v/>
      </c>
    </row>
    <row r="16">
      <c r="A16" s="35" t="inlineStr">
        <is>
          <t>Sales Staff #1</t>
        </is>
      </c>
      <c r="B16" s="36" t="n">
        <v>600</v>
      </c>
      <c r="C16" s="38" t="inlineStr">
        <is>
          <t>–</t>
        </is>
      </c>
      <c r="D16" s="38" t="inlineStr">
        <is>
          <t>–</t>
        </is>
      </c>
      <c r="E16" s="37" t="n">
        <v>600</v>
      </c>
      <c r="F16" s="37" t="n">
        <v>600</v>
      </c>
      <c r="G16" s="37" t="n">
        <v>600</v>
      </c>
      <c r="H16" s="37" t="n">
        <v>600</v>
      </c>
      <c r="I16" s="37" t="n">
        <v>600</v>
      </c>
      <c r="J16" s="37" t="n">
        <v>600</v>
      </c>
      <c r="K16" s="37" t="n">
        <v>600</v>
      </c>
      <c r="L16" s="37" t="n">
        <v>600</v>
      </c>
      <c r="M16" s="37" t="n">
        <v>600</v>
      </c>
      <c r="N16" s="37" t="n">
        <v>600</v>
      </c>
      <c r="O16" s="34">
        <f>SUM(C16:N16)</f>
        <v/>
      </c>
    </row>
    <row r="17">
      <c r="A17" s="31" t="inlineStr">
        <is>
          <t>Sales Staff #2</t>
        </is>
      </c>
      <c r="B17" s="32" t="n">
        <v>600</v>
      </c>
      <c r="C17" s="39" t="inlineStr">
        <is>
          <t>–</t>
        </is>
      </c>
      <c r="D17" s="39" t="inlineStr">
        <is>
          <t>–</t>
        </is>
      </c>
      <c r="E17" s="39" t="inlineStr">
        <is>
          <t>–</t>
        </is>
      </c>
      <c r="F17" s="33" t="n">
        <v>600</v>
      </c>
      <c r="G17" s="33" t="n">
        <v>600</v>
      </c>
      <c r="H17" s="33" t="n">
        <v>600</v>
      </c>
      <c r="I17" s="33" t="n">
        <v>600</v>
      </c>
      <c r="J17" s="33" t="n">
        <v>600</v>
      </c>
      <c r="K17" s="33" t="n">
        <v>600</v>
      </c>
      <c r="L17" s="33" t="n">
        <v>600</v>
      </c>
      <c r="M17" s="33" t="n">
        <v>600</v>
      </c>
      <c r="N17" s="33" t="n">
        <v>600</v>
      </c>
      <c r="O17" s="34">
        <f>SUM(C17:N17)</f>
        <v/>
      </c>
    </row>
    <row r="18">
      <c r="A18" s="35" t="inlineStr">
        <is>
          <t>Sales Staff #3</t>
        </is>
      </c>
      <c r="B18" s="36" t="n">
        <v>600</v>
      </c>
      <c r="C18" s="38" t="inlineStr">
        <is>
          <t>–</t>
        </is>
      </c>
      <c r="D18" s="38" t="inlineStr">
        <is>
          <t>–</t>
        </is>
      </c>
      <c r="E18" s="38" t="inlineStr">
        <is>
          <t>–</t>
        </is>
      </c>
      <c r="F18" s="38" t="inlineStr">
        <is>
          <t>–</t>
        </is>
      </c>
      <c r="G18" s="38" t="inlineStr">
        <is>
          <t>–</t>
        </is>
      </c>
      <c r="H18" s="37" t="n">
        <v>600</v>
      </c>
      <c r="I18" s="37" t="n">
        <v>600</v>
      </c>
      <c r="J18" s="37" t="n">
        <v>600</v>
      </c>
      <c r="K18" s="37" t="n">
        <v>600</v>
      </c>
      <c r="L18" s="37" t="n">
        <v>600</v>
      </c>
      <c r="M18" s="37" t="n">
        <v>600</v>
      </c>
      <c r="N18" s="37" t="n">
        <v>600</v>
      </c>
      <c r="O18" s="34">
        <f>SUM(C18:N18)</f>
        <v/>
      </c>
    </row>
    <row r="19">
      <c r="A19" s="31" t="inlineStr">
        <is>
          <t>Sales Staff #4</t>
        </is>
      </c>
      <c r="B19" s="32" t="n">
        <v>600</v>
      </c>
      <c r="C19" s="39" t="inlineStr">
        <is>
          <t>–</t>
        </is>
      </c>
      <c r="D19" s="39" t="inlineStr">
        <is>
          <t>–</t>
        </is>
      </c>
      <c r="E19" s="39" t="inlineStr">
        <is>
          <t>–</t>
        </is>
      </c>
      <c r="F19" s="39" t="inlineStr">
        <is>
          <t>–</t>
        </is>
      </c>
      <c r="G19" s="39" t="inlineStr">
        <is>
          <t>–</t>
        </is>
      </c>
      <c r="H19" s="39" t="inlineStr">
        <is>
          <t>–</t>
        </is>
      </c>
      <c r="I19" s="39" t="inlineStr">
        <is>
          <t>–</t>
        </is>
      </c>
      <c r="J19" s="33" t="n">
        <v>600</v>
      </c>
      <c r="K19" s="33" t="n">
        <v>600</v>
      </c>
      <c r="L19" s="33" t="n">
        <v>600</v>
      </c>
      <c r="M19" s="33" t="n">
        <v>600</v>
      </c>
      <c r="N19" s="33" t="n">
        <v>600</v>
      </c>
      <c r="O19" s="34">
        <f>SUM(C19:N19)</f>
        <v/>
      </c>
    </row>
    <row r="20">
      <c r="A20" s="35" t="inlineStr">
        <is>
          <t>Driver #1</t>
        </is>
      </c>
      <c r="B20" s="36" t="n">
        <v>500</v>
      </c>
      <c r="C20" s="37" t="n">
        <v>500</v>
      </c>
      <c r="D20" s="37" t="n">
        <v>500</v>
      </c>
      <c r="E20" s="37" t="n">
        <v>500</v>
      </c>
      <c r="F20" s="37" t="n">
        <v>500</v>
      </c>
      <c r="G20" s="37" t="n">
        <v>500</v>
      </c>
      <c r="H20" s="37" t="n">
        <v>500</v>
      </c>
      <c r="I20" s="37" t="n">
        <v>500</v>
      </c>
      <c r="J20" s="37" t="n">
        <v>500</v>
      </c>
      <c r="K20" s="37" t="n">
        <v>500</v>
      </c>
      <c r="L20" s="37" t="n">
        <v>500</v>
      </c>
      <c r="M20" s="37" t="n">
        <v>500</v>
      </c>
      <c r="N20" s="37" t="n">
        <v>500</v>
      </c>
      <c r="O20" s="34">
        <f>SUM(C20:N20)</f>
        <v/>
      </c>
    </row>
    <row r="21">
      <c r="A21" s="31" t="inlineStr">
        <is>
          <t>Driver #2</t>
        </is>
      </c>
      <c r="B21" s="32" t="n">
        <v>500</v>
      </c>
      <c r="C21" s="39" t="inlineStr">
        <is>
          <t>–</t>
        </is>
      </c>
      <c r="D21" s="39" t="inlineStr">
        <is>
          <t>–</t>
        </is>
      </c>
      <c r="E21" s="39" t="inlineStr">
        <is>
          <t>–</t>
        </is>
      </c>
      <c r="F21" s="33" t="n">
        <v>500</v>
      </c>
      <c r="G21" s="33" t="n">
        <v>500</v>
      </c>
      <c r="H21" s="33" t="n">
        <v>500</v>
      </c>
      <c r="I21" s="33" t="n">
        <v>500</v>
      </c>
      <c r="J21" s="33" t="n">
        <v>500</v>
      </c>
      <c r="K21" s="33" t="n">
        <v>500</v>
      </c>
      <c r="L21" s="33" t="n">
        <v>500</v>
      </c>
      <c r="M21" s="33" t="n">
        <v>500</v>
      </c>
      <c r="N21" s="33" t="n">
        <v>500</v>
      </c>
      <c r="O21" s="34">
        <f>SUM(C21:N21)</f>
        <v/>
      </c>
    </row>
    <row r="22">
      <c r="A22" s="35" t="inlineStr">
        <is>
          <t>Administrative Asst #1</t>
        </is>
      </c>
      <c r="B22" s="36" t="n">
        <v>600</v>
      </c>
      <c r="C22" s="37" t="n">
        <v>600</v>
      </c>
      <c r="D22" s="37" t="n">
        <v>600</v>
      </c>
      <c r="E22" s="37" t="n">
        <v>600</v>
      </c>
      <c r="F22" s="37" t="n">
        <v>600</v>
      </c>
      <c r="G22" s="37" t="n">
        <v>600</v>
      </c>
      <c r="H22" s="37" t="n">
        <v>600</v>
      </c>
      <c r="I22" s="37" t="n">
        <v>600</v>
      </c>
      <c r="J22" s="37" t="n">
        <v>600</v>
      </c>
      <c r="K22" s="37" t="n">
        <v>600</v>
      </c>
      <c r="L22" s="37" t="n">
        <v>600</v>
      </c>
      <c r="M22" s="37" t="n">
        <v>600</v>
      </c>
      <c r="N22" s="37" t="n">
        <v>600</v>
      </c>
      <c r="O22" s="34">
        <f>SUM(C22:N22)</f>
        <v/>
      </c>
    </row>
    <row r="23">
      <c r="A23" s="31" t="inlineStr">
        <is>
          <t>Administrative Asst #2</t>
        </is>
      </c>
      <c r="B23" s="32" t="n">
        <v>600</v>
      </c>
      <c r="C23" s="39" t="inlineStr">
        <is>
          <t>–</t>
        </is>
      </c>
      <c r="D23" s="39" t="inlineStr">
        <is>
          <t>–</t>
        </is>
      </c>
      <c r="E23" s="39" t="inlineStr">
        <is>
          <t>–</t>
        </is>
      </c>
      <c r="F23" s="39" t="inlineStr">
        <is>
          <t>–</t>
        </is>
      </c>
      <c r="G23" s="39" t="inlineStr">
        <is>
          <t>–</t>
        </is>
      </c>
      <c r="H23" s="33" t="n">
        <v>600</v>
      </c>
      <c r="I23" s="33" t="n">
        <v>600</v>
      </c>
      <c r="J23" s="33" t="n">
        <v>600</v>
      </c>
      <c r="K23" s="33" t="n">
        <v>600</v>
      </c>
      <c r="L23" s="33" t="n">
        <v>600</v>
      </c>
      <c r="M23" s="33" t="n">
        <v>600</v>
      </c>
      <c r="N23" s="33" t="n">
        <v>600</v>
      </c>
      <c r="O23" s="34">
        <f>SUM(C23:N23)</f>
        <v/>
      </c>
    </row>
    <row r="24">
      <c r="A24" s="35" t="inlineStr">
        <is>
          <t>Warehouse Staff #1</t>
        </is>
      </c>
      <c r="B24" s="36" t="n">
        <v>600</v>
      </c>
      <c r="C24" s="38" t="inlineStr">
        <is>
          <t>–</t>
        </is>
      </c>
      <c r="D24" s="38" t="inlineStr">
        <is>
          <t>–</t>
        </is>
      </c>
      <c r="E24" s="38" t="inlineStr">
        <is>
          <t>–</t>
        </is>
      </c>
      <c r="F24" s="37" t="n">
        <v>600</v>
      </c>
      <c r="G24" s="37" t="n">
        <v>600</v>
      </c>
      <c r="H24" s="37" t="n">
        <v>600</v>
      </c>
      <c r="I24" s="37" t="n">
        <v>600</v>
      </c>
      <c r="J24" s="37" t="n">
        <v>600</v>
      </c>
      <c r="K24" s="37" t="n">
        <v>600</v>
      </c>
      <c r="L24" s="37" t="n">
        <v>600</v>
      </c>
      <c r="M24" s="37" t="n">
        <v>600</v>
      </c>
      <c r="N24" s="37" t="n">
        <v>600</v>
      </c>
      <c r="O24" s="34">
        <f>SUM(C24:N24)</f>
        <v/>
      </c>
    </row>
    <row r="25">
      <c r="A25" s="31" t="inlineStr">
        <is>
          <t>Warehouse Staff #2</t>
        </is>
      </c>
      <c r="B25" s="32" t="n">
        <v>600</v>
      </c>
      <c r="C25" s="39" t="inlineStr">
        <is>
          <t>–</t>
        </is>
      </c>
      <c r="D25" s="39" t="inlineStr">
        <is>
          <t>–</t>
        </is>
      </c>
      <c r="E25" s="39" t="inlineStr">
        <is>
          <t>–</t>
        </is>
      </c>
      <c r="F25" s="39" t="inlineStr">
        <is>
          <t>–</t>
        </is>
      </c>
      <c r="G25" s="39" t="inlineStr">
        <is>
          <t>–</t>
        </is>
      </c>
      <c r="H25" s="39" t="inlineStr">
        <is>
          <t>–</t>
        </is>
      </c>
      <c r="I25" s="39" t="inlineStr">
        <is>
          <t>–</t>
        </is>
      </c>
      <c r="J25" s="33" t="n">
        <v>600</v>
      </c>
      <c r="K25" s="33" t="n">
        <v>600</v>
      </c>
      <c r="L25" s="33" t="n">
        <v>600</v>
      </c>
      <c r="M25" s="33" t="n">
        <v>600</v>
      </c>
      <c r="N25" s="33" t="n">
        <v>600</v>
      </c>
      <c r="O25" s="34">
        <f>SUM(C25:N25)</f>
        <v/>
      </c>
    </row>
    <row r="26" ht="18" customHeight="1" s="1">
      <c r="A26" s="40" t="inlineStr">
        <is>
          <t>TOTAL BASE SALARIES</t>
        </is>
      </c>
      <c r="B26" s="41" t="n"/>
      <c r="C26" s="41">
        <f>SUM(C5:C25)</f>
        <v/>
      </c>
      <c r="D26" s="41">
        <f>SUM(D5:D25)</f>
        <v/>
      </c>
      <c r="E26" s="41">
        <f>SUM(E5:E25)</f>
        <v/>
      </c>
      <c r="F26" s="41">
        <f>SUM(F5:F25)</f>
        <v/>
      </c>
      <c r="G26" s="41">
        <f>SUM(G5:G25)</f>
        <v/>
      </c>
      <c r="H26" s="41">
        <f>SUM(H5:H25)</f>
        <v/>
      </c>
      <c r="I26" s="41">
        <f>SUM(I5:I25)</f>
        <v/>
      </c>
      <c r="J26" s="41">
        <f>SUM(J5:J25)</f>
        <v/>
      </c>
      <c r="K26" s="41">
        <f>SUM(K5:K25)</f>
        <v/>
      </c>
      <c r="L26" s="41">
        <f>SUM(L5:L25)</f>
        <v/>
      </c>
      <c r="M26" s="41">
        <f>SUM(M5:M25)</f>
        <v/>
      </c>
      <c r="N26" s="41">
        <f>SUM(N5:N25)</f>
        <v/>
      </c>
      <c r="O26" s="41">
        <f>SUM(O5:O25)</f>
        <v/>
      </c>
    </row>
    <row r="27">
      <c r="A27" s="42" t="inlineStr">
        <is>
          <t>Social Insurance &amp; Benefits (15%)</t>
        </is>
      </c>
      <c r="B27" s="43" t="inlineStr">
        <is>
          <t>15%</t>
        </is>
      </c>
      <c r="C27" s="44">
        <f>C26*15%</f>
        <v/>
      </c>
      <c r="D27" s="44">
        <f>D26*15%</f>
        <v/>
      </c>
      <c r="E27" s="44">
        <f>E26*15%</f>
        <v/>
      </c>
      <c r="F27" s="44">
        <f>F26*15%</f>
        <v/>
      </c>
      <c r="G27" s="44">
        <f>G26*15%</f>
        <v/>
      </c>
      <c r="H27" s="44">
        <f>H26*15%</f>
        <v/>
      </c>
      <c r="I27" s="44">
        <f>I26*15%</f>
        <v/>
      </c>
      <c r="J27" s="44">
        <f>J26*15%</f>
        <v/>
      </c>
      <c r="K27" s="44">
        <f>K26*15%</f>
        <v/>
      </c>
      <c r="L27" s="44">
        <f>L26*15%</f>
        <v/>
      </c>
      <c r="M27" s="44">
        <f>M26*15%</f>
        <v/>
      </c>
      <c r="N27" s="44">
        <f>N26*15%</f>
        <v/>
      </c>
      <c r="O27" s="44">
        <f>O26*15%</f>
        <v/>
      </c>
    </row>
    <row r="28" ht="18" customHeight="1" s="1">
      <c r="A28" s="28" t="inlineStr">
        <is>
          <t>TOTAL PERSONNEL COSTS (incl. benefits)</t>
        </is>
      </c>
      <c r="B28" s="45" t="n"/>
      <c r="C28" s="45">
        <f>SUM(C26:C27)</f>
        <v/>
      </c>
      <c r="D28" s="45">
        <f>SUM(D26:D27)</f>
        <v/>
      </c>
      <c r="E28" s="45">
        <f>SUM(E26:E27)</f>
        <v/>
      </c>
      <c r="F28" s="45">
        <f>SUM(F26:F27)</f>
        <v/>
      </c>
      <c r="G28" s="45">
        <f>SUM(G26:G27)</f>
        <v/>
      </c>
      <c r="H28" s="45">
        <f>SUM(H26:H27)</f>
        <v/>
      </c>
      <c r="I28" s="45">
        <f>SUM(I26:I27)</f>
        <v/>
      </c>
      <c r="J28" s="45">
        <f>SUM(J26:J27)</f>
        <v/>
      </c>
      <c r="K28" s="45">
        <f>SUM(K26:K27)</f>
        <v/>
      </c>
      <c r="L28" s="45">
        <f>SUM(L26:L27)</f>
        <v/>
      </c>
      <c r="M28" s="45">
        <f>SUM(M26:M27)</f>
        <v/>
      </c>
      <c r="N28" s="45">
        <f>SUM(N26:N27)</f>
        <v/>
      </c>
      <c r="O28" s="45">
        <f>SUM(O26:O27)</f>
        <v/>
      </c>
    </row>
    <row r="29">
      <c r="A29" s="46" t="inlineStr">
        <is>
          <t>Total Headcount (end of month)</t>
        </is>
      </c>
      <c r="B29" s="47" t="inlineStr">
        <is>
          <t>Month-end</t>
        </is>
      </c>
      <c r="C29" s="48" t="n">
        <v>6</v>
      </c>
      <c r="D29" s="48" t="n">
        <v>8</v>
      </c>
      <c r="E29" s="48" t="n">
        <v>11</v>
      </c>
      <c r="F29" s="48" t="n">
        <v>14</v>
      </c>
      <c r="G29" s="48" t="n">
        <v>14</v>
      </c>
      <c r="H29" s="48" t="n">
        <v>16</v>
      </c>
      <c r="I29" s="48" t="n">
        <v>16</v>
      </c>
      <c r="J29" s="48" t="n">
        <v>19</v>
      </c>
      <c r="K29" s="48" t="n">
        <v>19</v>
      </c>
      <c r="L29" s="48" t="n">
        <v>19</v>
      </c>
      <c r="M29" s="48" t="n">
        <v>19</v>
      </c>
      <c r="N29" s="48" t="n">
        <v>19</v>
      </c>
      <c r="O29" s="49" t="n">
        <v>19</v>
      </c>
    </row>
    <row r="33" ht="18" customHeight="1" s="1">
      <c r="A33" s="50" t="inlineStr">
        <is>
          <t xml:space="preserve">YEAR 2  (Aug 2027 – Jul 2028)  —  26 Staff  </t>
        </is>
      </c>
    </row>
    <row r="34" ht="26.4" customHeight="1" s="1">
      <c r="A34" s="52" t="inlineStr">
        <is>
          <t>Role</t>
        </is>
      </c>
      <c r="B34" s="52" t="inlineStr">
        <is>
          <t>Monthly
Salary (USD)</t>
        </is>
      </c>
      <c r="C34" s="52" t="inlineStr">
        <is>
          <t>Annual
Salary (USD)</t>
        </is>
      </c>
      <c r="D34" s="52" t="inlineStr">
        <is>
          <t>Status</t>
        </is>
      </c>
    </row>
    <row r="35" ht="13.05" customHeight="1" s="1">
      <c r="A35" s="53" t="inlineStr">
        <is>
          <t xml:space="preserve">  MANAGEMENT</t>
        </is>
      </c>
    </row>
    <row r="36">
      <c r="A36" s="54" t="inlineStr">
        <is>
          <t>CEO / Director</t>
        </is>
      </c>
      <c r="B36" s="55" t="n">
        <v>8000</v>
      </c>
      <c r="C36" s="55">
        <f>B36*12</f>
        <v/>
      </c>
      <c r="D36" s="56" t="inlineStr">
        <is>
          <t>Existing</t>
        </is>
      </c>
    </row>
    <row r="37">
      <c r="A37" s="57" t="inlineStr">
        <is>
          <t>Financial Manager</t>
        </is>
      </c>
      <c r="B37" s="58" t="n">
        <v>4000</v>
      </c>
      <c r="C37" s="58">
        <f>B37*12</f>
        <v/>
      </c>
      <c r="D37" s="59" t="inlineStr">
        <is>
          <t>Existing</t>
        </is>
      </c>
    </row>
    <row r="38">
      <c r="A38" s="54" t="inlineStr">
        <is>
          <t>Operations Manager</t>
        </is>
      </c>
      <c r="B38" s="55" t="n">
        <v>4000</v>
      </c>
      <c r="C38" s="55">
        <f>B38*12</f>
        <v/>
      </c>
      <c r="D38" s="56" t="inlineStr">
        <is>
          <t>Existing</t>
        </is>
      </c>
    </row>
    <row r="39">
      <c r="A39" s="57" t="inlineStr">
        <is>
          <t>Sales Manager</t>
        </is>
      </c>
      <c r="B39" s="58" t="n">
        <v>3000</v>
      </c>
      <c r="C39" s="58">
        <f>B39*12</f>
        <v/>
      </c>
      <c r="D39" s="59" t="inlineStr">
        <is>
          <t>Existing</t>
        </is>
      </c>
    </row>
    <row r="40">
      <c r="A40" s="54" t="inlineStr">
        <is>
          <t>Marketing Manager</t>
        </is>
      </c>
      <c r="B40" s="55" t="n">
        <v>1500</v>
      </c>
      <c r="C40" s="55">
        <f>B40*12</f>
        <v/>
      </c>
      <c r="D40" s="56" t="inlineStr">
        <is>
          <t>Existing</t>
        </is>
      </c>
    </row>
    <row r="41">
      <c r="A41" s="57" t="inlineStr">
        <is>
          <t>HR Manager</t>
        </is>
      </c>
      <c r="B41" s="58" t="n">
        <v>1000</v>
      </c>
      <c r="C41" s="58">
        <f>B41*12</f>
        <v/>
      </c>
      <c r="D41" s="59" t="inlineStr">
        <is>
          <t>Existing</t>
        </is>
      </c>
    </row>
    <row r="42" ht="13.05" customHeight="1" s="1">
      <c r="A42" s="53" t="inlineStr">
        <is>
          <t xml:space="preserve">  FINANCE &amp; ADMIN</t>
        </is>
      </c>
    </row>
    <row r="43">
      <c r="A43" s="57" t="inlineStr">
        <is>
          <t>Accountant #1</t>
        </is>
      </c>
      <c r="B43" s="58" t="n">
        <v>800</v>
      </c>
      <c r="C43" s="58">
        <f>B43*12</f>
        <v/>
      </c>
      <c r="D43" s="59" t="inlineStr">
        <is>
          <t>Existing</t>
        </is>
      </c>
    </row>
    <row r="44">
      <c r="A44" s="54" t="inlineStr">
        <is>
          <t>Accountant #2</t>
        </is>
      </c>
      <c r="B44" s="55" t="n">
        <v>800</v>
      </c>
      <c r="C44" s="55" t="n">
        <v>9600</v>
      </c>
      <c r="D44" s="56" t="inlineStr">
        <is>
          <t>Existing</t>
        </is>
      </c>
    </row>
    <row r="45">
      <c r="A45" s="57" t="inlineStr">
        <is>
          <t>Administrative Asst #1</t>
        </is>
      </c>
      <c r="B45" s="58" t="n">
        <v>600</v>
      </c>
      <c r="C45" s="58">
        <f>B45*12</f>
        <v/>
      </c>
      <c r="D45" s="59" t="inlineStr">
        <is>
          <t>Existing</t>
        </is>
      </c>
    </row>
    <row r="46">
      <c r="A46" s="54" t="inlineStr">
        <is>
          <t>Administrative Asst #2</t>
        </is>
      </c>
      <c r="B46" s="55" t="n">
        <v>600</v>
      </c>
      <c r="C46" s="55" t="n">
        <v>7200</v>
      </c>
      <c r="D46" s="56" t="inlineStr">
        <is>
          <t>Existing</t>
        </is>
      </c>
    </row>
    <row r="47">
      <c r="A47" s="60" t="inlineStr">
        <is>
          <t>Administrative Asst #3</t>
        </is>
      </c>
      <c r="B47" s="61" t="n">
        <v>600</v>
      </c>
      <c r="C47" s="61" t="n">
        <v>7200</v>
      </c>
      <c r="D47" s="62" t="inlineStr">
        <is>
          <t>NEW</t>
        </is>
      </c>
    </row>
    <row r="48" ht="13.05" customHeight="1" s="1">
      <c r="A48" s="53" t="inlineStr">
        <is>
          <t xml:space="preserve">  WAREHOUSE &amp; LOGISTICS</t>
        </is>
      </c>
    </row>
    <row r="49">
      <c r="A49" s="57" t="inlineStr">
        <is>
          <t>Warehouse Manager</t>
        </is>
      </c>
      <c r="B49" s="58" t="n">
        <v>1200</v>
      </c>
      <c r="C49" s="58">
        <f>B49*12</f>
        <v/>
      </c>
      <c r="D49" s="59" t="inlineStr">
        <is>
          <t>Existing</t>
        </is>
      </c>
    </row>
    <row r="50">
      <c r="A50" s="54" t="inlineStr">
        <is>
          <t>Warehouse Staff #1</t>
        </is>
      </c>
      <c r="B50" s="55" t="n">
        <v>600</v>
      </c>
      <c r="C50" s="55" t="n">
        <v>7200</v>
      </c>
      <c r="D50" s="56" t="inlineStr">
        <is>
          <t>Existing</t>
        </is>
      </c>
    </row>
    <row r="51">
      <c r="A51" s="57" t="inlineStr">
        <is>
          <t>Warehouse Staff #2</t>
        </is>
      </c>
      <c r="B51" s="58" t="n">
        <v>600</v>
      </c>
      <c r="C51" s="58" t="n">
        <v>7200</v>
      </c>
      <c r="D51" s="59" t="inlineStr">
        <is>
          <t>Existing</t>
        </is>
      </c>
    </row>
    <row r="52">
      <c r="A52" s="60" t="inlineStr">
        <is>
          <t>Logistics Coordinator</t>
        </is>
      </c>
      <c r="B52" s="61" t="n">
        <v>1200</v>
      </c>
      <c r="C52" s="61" t="n">
        <v>14400</v>
      </c>
      <c r="D52" s="62" t="inlineStr">
        <is>
          <t>NEW</t>
        </is>
      </c>
    </row>
    <row r="53" ht="13.05" customHeight="1" s="1">
      <c r="A53" s="53" t="inlineStr">
        <is>
          <t xml:space="preserve">  SALES</t>
        </is>
      </c>
    </row>
    <row r="54">
      <c r="A54" s="54" t="inlineStr">
        <is>
          <t>Sales Staff #1</t>
        </is>
      </c>
      <c r="B54" s="55" t="n">
        <v>600</v>
      </c>
      <c r="C54" s="55" t="n">
        <v>7200</v>
      </c>
      <c r="D54" s="56" t="inlineStr">
        <is>
          <t>Existing</t>
        </is>
      </c>
    </row>
    <row r="55">
      <c r="A55" s="57" t="inlineStr">
        <is>
          <t>Sales Staff #2</t>
        </is>
      </c>
      <c r="B55" s="58" t="n">
        <v>600</v>
      </c>
      <c r="C55" s="58" t="n">
        <v>7200</v>
      </c>
      <c r="D55" s="59" t="inlineStr">
        <is>
          <t>Existing</t>
        </is>
      </c>
    </row>
    <row r="56">
      <c r="A56" s="54" t="inlineStr">
        <is>
          <t>Sales Staff #3</t>
        </is>
      </c>
      <c r="B56" s="55" t="n">
        <v>600</v>
      </c>
      <c r="C56" s="55" t="n">
        <v>7200</v>
      </c>
      <c r="D56" s="56" t="inlineStr">
        <is>
          <t>Existing</t>
        </is>
      </c>
    </row>
    <row r="57">
      <c r="A57" s="57" t="inlineStr">
        <is>
          <t>Sales Staff #4</t>
        </is>
      </c>
      <c r="B57" s="58" t="n">
        <v>600</v>
      </c>
      <c r="C57" s="58" t="n">
        <v>7200</v>
      </c>
      <c r="D57" s="59" t="inlineStr">
        <is>
          <t>Existing</t>
        </is>
      </c>
    </row>
    <row r="58">
      <c r="A58" s="60" t="inlineStr">
        <is>
          <t>Sales Staff #5</t>
        </is>
      </c>
      <c r="B58" s="61" t="n">
        <v>600</v>
      </c>
      <c r="C58" s="61" t="n">
        <v>7200</v>
      </c>
      <c r="D58" s="62" t="inlineStr">
        <is>
          <t>NEW</t>
        </is>
      </c>
    </row>
    <row r="59">
      <c r="A59" s="60" t="inlineStr">
        <is>
          <t>Sales Staff #6</t>
        </is>
      </c>
      <c r="B59" s="61" t="n">
        <v>600</v>
      </c>
      <c r="C59" s="61" t="n">
        <v>7200</v>
      </c>
      <c r="D59" s="62" t="inlineStr">
        <is>
          <t>NEW</t>
        </is>
      </c>
    </row>
    <row r="60" ht="13.05" customHeight="1" s="1">
      <c r="A60" s="53" t="inlineStr">
        <is>
          <t xml:space="preserve">  TECHNICAL &amp; SERVICE</t>
        </is>
      </c>
    </row>
    <row r="61">
      <c r="A61" s="60" t="inlineStr">
        <is>
          <t>Customer Service Manager</t>
        </is>
      </c>
      <c r="B61" s="61" t="n">
        <v>1500</v>
      </c>
      <c r="C61" s="61">
        <f>B61*12</f>
        <v/>
      </c>
      <c r="D61" s="62" t="inlineStr">
        <is>
          <t>NEW</t>
        </is>
      </c>
    </row>
    <row r="62">
      <c r="A62" s="60" t="inlineStr">
        <is>
          <t>Technical Specialist</t>
        </is>
      </c>
      <c r="B62" s="61" t="n">
        <v>1200</v>
      </c>
      <c r="C62" s="61" t="n">
        <v>14400</v>
      </c>
      <c r="D62" s="62" t="inlineStr">
        <is>
          <t>NEW</t>
        </is>
      </c>
    </row>
    <row r="63" ht="13.05" customHeight="1" s="1">
      <c r="A63" s="53" t="inlineStr">
        <is>
          <t xml:space="preserve">  DRIVERS</t>
        </is>
      </c>
    </row>
    <row r="64">
      <c r="A64" s="54" t="inlineStr">
        <is>
          <t>Driver #1</t>
        </is>
      </c>
      <c r="B64" s="55" t="n">
        <v>500</v>
      </c>
      <c r="C64" s="55">
        <f>B64*12</f>
        <v/>
      </c>
      <c r="D64" s="56" t="inlineStr">
        <is>
          <t>Existing</t>
        </is>
      </c>
    </row>
    <row r="65">
      <c r="A65" s="57" t="inlineStr">
        <is>
          <t>Driver #2</t>
        </is>
      </c>
      <c r="B65" s="58" t="n">
        <v>500</v>
      </c>
      <c r="C65" s="58" t="n">
        <v>6000</v>
      </c>
      <c r="D65" s="59" t="inlineStr">
        <is>
          <t>Existing</t>
        </is>
      </c>
    </row>
    <row r="66">
      <c r="A66" s="60" t="inlineStr">
        <is>
          <t>Driver #3</t>
        </is>
      </c>
      <c r="B66" s="61" t="n">
        <v>500</v>
      </c>
      <c r="C66" s="61" t="n">
        <v>6000</v>
      </c>
      <c r="D66" s="62" t="inlineStr">
        <is>
          <t>NEW</t>
        </is>
      </c>
    </row>
    <row r="68">
      <c r="A68" s="63" t="inlineStr">
        <is>
          <t>Total Base Salaries (annual):</t>
        </is>
      </c>
      <c r="C68" s="64">
        <f>SUM(C64:C66,C61:C62,C54:C59,C49:C52,C43:C47,C36:C41)</f>
        <v/>
      </c>
      <c r="D68" s="65" t="n"/>
    </row>
    <row r="69">
      <c r="A69" s="63" t="inlineStr">
        <is>
          <t>Social Insurance &amp; Benefits (15%):</t>
        </is>
      </c>
      <c r="C69" s="64">
        <f>C68*15%</f>
        <v/>
      </c>
      <c r="D69" s="65" t="n"/>
    </row>
    <row r="70">
      <c r="A70" s="66" t="inlineStr">
        <is>
          <t>Personnel Sub-total (base + benefits):</t>
        </is>
      </c>
      <c r="C70" s="67">
        <f>SUM(C68:C69)</f>
        <v/>
      </c>
      <c r="D70" s="65" t="n"/>
    </row>
    <row r="71">
      <c r="A71" s="63" t="inlineStr">
        <is>
          <t>Sales Commissions (4% of Egypt revenue $3,119,380):</t>
        </is>
      </c>
      <c r="C71" s="64">
        <f>4%*'Annual P&amp;L Summary Y1-Y5'!C6</f>
        <v/>
      </c>
      <c r="D71" s="65" t="n"/>
    </row>
    <row r="72">
      <c r="A72" s="68" t="inlineStr">
        <is>
          <t>TOTAL ANNUAL PERSONNEL COST:</t>
        </is>
      </c>
      <c r="C72" s="45">
        <f>SUM(C70:C71)</f>
        <v/>
      </c>
      <c r="D72" s="69" t="n"/>
    </row>
    <row r="75" ht="18" customHeight="1" s="1">
      <c r="A75" s="50" t="inlineStr">
        <is>
          <t xml:space="preserve">YEAR 3  (Aug 2028 – Jul 2029)  —  35 Staff  </t>
        </is>
      </c>
    </row>
    <row r="76" ht="26.4" customHeight="1" s="1">
      <c r="A76" s="52" t="inlineStr">
        <is>
          <t>Role</t>
        </is>
      </c>
      <c r="B76" s="52" t="inlineStr">
        <is>
          <t>Monthly
Salary (USD)</t>
        </is>
      </c>
      <c r="C76" s="52" t="inlineStr">
        <is>
          <t>Annual
Salary (USD)</t>
        </is>
      </c>
      <c r="D76" s="52" t="inlineStr">
        <is>
          <t>Status</t>
        </is>
      </c>
    </row>
    <row r="77" ht="13.05" customHeight="1" s="1">
      <c r="A77" s="53" t="inlineStr">
        <is>
          <t xml:space="preserve">  MANAGEMENT</t>
        </is>
      </c>
    </row>
    <row r="78">
      <c r="A78" s="54" t="inlineStr">
        <is>
          <t>CEO / Director</t>
        </is>
      </c>
      <c r="B78" s="55" t="n">
        <v>8000</v>
      </c>
      <c r="C78" s="55">
        <f>B78*12</f>
        <v/>
      </c>
      <c r="D78" s="56" t="inlineStr">
        <is>
          <t>Existing</t>
        </is>
      </c>
    </row>
    <row r="79">
      <c r="A79" s="57" t="inlineStr">
        <is>
          <t>Financial Manager</t>
        </is>
      </c>
      <c r="B79" s="58" t="n">
        <v>4000</v>
      </c>
      <c r="C79" s="58" t="n">
        <v>48000</v>
      </c>
      <c r="D79" s="59" t="inlineStr">
        <is>
          <t>Existing</t>
        </is>
      </c>
    </row>
    <row r="80">
      <c r="A80" s="54" t="inlineStr">
        <is>
          <t>Operations Manager</t>
        </is>
      </c>
      <c r="B80" s="55" t="n">
        <v>4000</v>
      </c>
      <c r="C80" s="55" t="n">
        <v>48000</v>
      </c>
      <c r="D80" s="56" t="inlineStr">
        <is>
          <t>Existing</t>
        </is>
      </c>
    </row>
    <row r="81">
      <c r="A81" s="57" t="inlineStr">
        <is>
          <t>Sales Manager</t>
        </is>
      </c>
      <c r="B81" s="58" t="n">
        <v>3000</v>
      </c>
      <c r="C81" s="58" t="n">
        <v>36000</v>
      </c>
      <c r="D81" s="59" t="inlineStr">
        <is>
          <t>Existing</t>
        </is>
      </c>
    </row>
    <row r="82">
      <c r="A82" s="54" t="inlineStr">
        <is>
          <t>Marketing Manager</t>
        </is>
      </c>
      <c r="B82" s="55" t="n">
        <v>1500</v>
      </c>
      <c r="C82" s="55" t="n">
        <v>18000</v>
      </c>
      <c r="D82" s="56" t="inlineStr">
        <is>
          <t>Existing</t>
        </is>
      </c>
    </row>
    <row r="83">
      <c r="A83" s="57" t="inlineStr">
        <is>
          <t>HR Manager</t>
        </is>
      </c>
      <c r="B83" s="58" t="n">
        <v>1000</v>
      </c>
      <c r="C83" s="58" t="n">
        <v>12000</v>
      </c>
      <c r="D83" s="59" t="inlineStr">
        <is>
          <t>Existing</t>
        </is>
      </c>
    </row>
    <row r="84">
      <c r="A84" s="60" t="inlineStr">
        <is>
          <t>Alexandria Branch Manager</t>
        </is>
      </c>
      <c r="B84" s="61" t="n">
        <v>2000</v>
      </c>
      <c r="C84" s="61" t="n">
        <v>24000</v>
      </c>
      <c r="D84" s="62" t="inlineStr">
        <is>
          <t>NEW</t>
        </is>
      </c>
    </row>
    <row r="85" ht="13.05" customHeight="1" s="1">
      <c r="A85" s="53" t="inlineStr">
        <is>
          <t xml:space="preserve">  FINANCE &amp; ADMIN</t>
        </is>
      </c>
    </row>
    <row r="86">
      <c r="A86" s="54" t="inlineStr">
        <is>
          <t>Accountant #1</t>
        </is>
      </c>
      <c r="B86" s="55" t="n">
        <v>800</v>
      </c>
      <c r="C86" s="55" t="n">
        <v>9600</v>
      </c>
      <c r="D86" s="56" t="inlineStr">
        <is>
          <t>Existing</t>
        </is>
      </c>
    </row>
    <row r="87">
      <c r="A87" s="57" t="inlineStr">
        <is>
          <t>Accountant #2</t>
        </is>
      </c>
      <c r="B87" s="58" t="n">
        <v>800</v>
      </c>
      <c r="C87" s="58" t="n">
        <v>9600</v>
      </c>
      <c r="D87" s="59" t="inlineStr">
        <is>
          <t>Existing</t>
        </is>
      </c>
    </row>
    <row r="88">
      <c r="A88" s="60" t="inlineStr">
        <is>
          <t>Finance Analyst</t>
        </is>
      </c>
      <c r="B88" s="61" t="n">
        <v>1000</v>
      </c>
      <c r="C88" s="61" t="n">
        <v>12000</v>
      </c>
      <c r="D88" s="62" t="inlineStr">
        <is>
          <t>NEW</t>
        </is>
      </c>
    </row>
    <row r="89">
      <c r="A89" s="57" t="inlineStr">
        <is>
          <t>Administrative Asst #1</t>
        </is>
      </c>
      <c r="B89" s="58" t="n">
        <v>600</v>
      </c>
      <c r="C89" s="58" t="n">
        <v>7200</v>
      </c>
      <c r="D89" s="59" t="inlineStr">
        <is>
          <t>Existing</t>
        </is>
      </c>
    </row>
    <row r="90">
      <c r="A90" s="54" t="inlineStr">
        <is>
          <t>Administrative Asst #2</t>
        </is>
      </c>
      <c r="B90" s="55" t="n">
        <v>600</v>
      </c>
      <c r="C90" s="55" t="n">
        <v>7200</v>
      </c>
      <c r="D90" s="56" t="inlineStr">
        <is>
          <t>Existing</t>
        </is>
      </c>
    </row>
    <row r="91">
      <c r="A91" s="57" t="inlineStr">
        <is>
          <t>Administrative Asst #3</t>
        </is>
      </c>
      <c r="B91" s="58" t="n">
        <v>600</v>
      </c>
      <c r="C91" s="58" t="n">
        <v>7200</v>
      </c>
      <c r="D91" s="59" t="inlineStr">
        <is>
          <t>Existing</t>
        </is>
      </c>
    </row>
    <row r="92" ht="13.05" customHeight="1" s="1">
      <c r="A92" s="53" t="inlineStr">
        <is>
          <t xml:space="preserve">  WAREHOUSE &amp; LOGISTICS</t>
        </is>
      </c>
    </row>
    <row r="93">
      <c r="A93" s="57" t="inlineStr">
        <is>
          <t>Warehouse Manager</t>
        </is>
      </c>
      <c r="B93" s="58" t="n">
        <v>1200</v>
      </c>
      <c r="C93" s="58" t="n">
        <v>14400</v>
      </c>
      <c r="D93" s="59" t="inlineStr">
        <is>
          <t>Existing</t>
        </is>
      </c>
    </row>
    <row r="94">
      <c r="A94" s="54" t="inlineStr">
        <is>
          <t>Warehouse Staff #1</t>
        </is>
      </c>
      <c r="B94" s="55" t="n">
        <v>600</v>
      </c>
      <c r="C94" s="55" t="n">
        <v>7200</v>
      </c>
      <c r="D94" s="56" t="inlineStr">
        <is>
          <t>Existing</t>
        </is>
      </c>
    </row>
    <row r="95">
      <c r="A95" s="57" t="inlineStr">
        <is>
          <t>Warehouse Staff #2</t>
        </is>
      </c>
      <c r="B95" s="58" t="n">
        <v>600</v>
      </c>
      <c r="C95" s="58" t="n">
        <v>7200</v>
      </c>
      <c r="D95" s="59" t="inlineStr">
        <is>
          <t>Existing</t>
        </is>
      </c>
    </row>
    <row r="96">
      <c r="A96" s="54" t="inlineStr">
        <is>
          <t>Logistics Coordinator</t>
        </is>
      </c>
      <c r="B96" s="55" t="n">
        <v>1200</v>
      </c>
      <c r="C96" s="55" t="n">
        <v>14400</v>
      </c>
      <c r="D96" s="56" t="inlineStr">
        <is>
          <t>Existing</t>
        </is>
      </c>
    </row>
    <row r="97">
      <c r="A97" s="60" t="inlineStr">
        <is>
          <t>Supply Chain Analyst</t>
        </is>
      </c>
      <c r="B97" s="61" t="n">
        <v>1000</v>
      </c>
      <c r="C97" s="61" t="n">
        <v>12000</v>
      </c>
      <c r="D97" s="62" t="inlineStr">
        <is>
          <t>NEW</t>
        </is>
      </c>
    </row>
    <row r="98" ht="13.05" customHeight="1" s="1">
      <c r="A98" s="53" t="inlineStr">
        <is>
          <t xml:space="preserve">  SALES</t>
        </is>
      </c>
    </row>
    <row r="99">
      <c r="A99" s="57" t="inlineStr">
        <is>
          <t>Sales Staff #1</t>
        </is>
      </c>
      <c r="B99" s="58" t="n">
        <v>600</v>
      </c>
      <c r="C99" s="58" t="n">
        <v>7200</v>
      </c>
      <c r="D99" s="59" t="inlineStr">
        <is>
          <t>Existing</t>
        </is>
      </c>
    </row>
    <row r="100">
      <c r="A100" s="54" t="inlineStr">
        <is>
          <t>Sales Staff #2</t>
        </is>
      </c>
      <c r="B100" s="55" t="n">
        <v>600</v>
      </c>
      <c r="C100" s="55" t="n">
        <v>7200</v>
      </c>
      <c r="D100" s="56" t="inlineStr">
        <is>
          <t>Existing</t>
        </is>
      </c>
    </row>
    <row r="101">
      <c r="A101" s="57" t="inlineStr">
        <is>
          <t>Sales Staff #3</t>
        </is>
      </c>
      <c r="B101" s="58" t="n">
        <v>600</v>
      </c>
      <c r="C101" s="58" t="n">
        <v>7200</v>
      </c>
      <c r="D101" s="59" t="inlineStr">
        <is>
          <t>Existing</t>
        </is>
      </c>
    </row>
    <row r="102">
      <c r="A102" s="54" t="inlineStr">
        <is>
          <t>Sales Staff #4</t>
        </is>
      </c>
      <c r="B102" s="55" t="n">
        <v>600</v>
      </c>
      <c r="C102" s="55" t="n">
        <v>7200</v>
      </c>
      <c r="D102" s="56" t="inlineStr">
        <is>
          <t>Existing</t>
        </is>
      </c>
    </row>
    <row r="103">
      <c r="A103" s="57" t="inlineStr">
        <is>
          <t>Sales Staff #5</t>
        </is>
      </c>
      <c r="B103" s="58" t="n">
        <v>600</v>
      </c>
      <c r="C103" s="58" t="n">
        <v>7200</v>
      </c>
      <c r="D103" s="59" t="inlineStr">
        <is>
          <t>Existing</t>
        </is>
      </c>
    </row>
    <row r="104">
      <c r="A104" s="54" t="inlineStr">
        <is>
          <t>Sales Staff #6</t>
        </is>
      </c>
      <c r="B104" s="55" t="n">
        <v>600</v>
      </c>
      <c r="C104" s="55" t="n">
        <v>7200</v>
      </c>
      <c r="D104" s="56" t="inlineStr">
        <is>
          <t>Existing</t>
        </is>
      </c>
    </row>
    <row r="105">
      <c r="A105" s="60" t="inlineStr">
        <is>
          <t>Senior Sales Executive</t>
        </is>
      </c>
      <c r="B105" s="61" t="n">
        <v>1200</v>
      </c>
      <c r="C105" s="61" t="n">
        <v>14400</v>
      </c>
      <c r="D105" s="62" t="inlineStr">
        <is>
          <t>NEW</t>
        </is>
      </c>
    </row>
    <row r="106">
      <c r="A106" s="60" t="inlineStr">
        <is>
          <t>Alex Sales Staff #1</t>
        </is>
      </c>
      <c r="B106" s="61" t="n">
        <v>600</v>
      </c>
      <c r="C106" s="61" t="n">
        <v>7200</v>
      </c>
      <c r="D106" s="62" t="inlineStr">
        <is>
          <t>NEW</t>
        </is>
      </c>
    </row>
    <row r="107">
      <c r="A107" s="60" t="inlineStr">
        <is>
          <t>Alex Sales Staff #2</t>
        </is>
      </c>
      <c r="B107" s="61" t="n">
        <v>600</v>
      </c>
      <c r="C107" s="61" t="n">
        <v>7200</v>
      </c>
      <c r="D107" s="62" t="inlineStr">
        <is>
          <t>NEW</t>
        </is>
      </c>
    </row>
    <row r="108" ht="13.05" customHeight="1" s="1">
      <c r="A108" s="53" t="inlineStr">
        <is>
          <t xml:space="preserve">  TECHNICAL &amp; SERVICE</t>
        </is>
      </c>
    </row>
    <row r="109">
      <c r="A109" s="57" t="inlineStr">
        <is>
          <t>Customer Service Manager</t>
        </is>
      </c>
      <c r="B109" s="58" t="n">
        <v>1500</v>
      </c>
      <c r="C109" s="58" t="n">
        <v>18000</v>
      </c>
      <c r="D109" s="59" t="inlineStr">
        <is>
          <t>Existing</t>
        </is>
      </c>
    </row>
    <row r="110">
      <c r="A110" s="54" t="inlineStr">
        <is>
          <t>Technical Specialist</t>
        </is>
      </c>
      <c r="B110" s="55" t="n">
        <v>1200</v>
      </c>
      <c r="C110" s="55" t="n">
        <v>14400</v>
      </c>
      <c r="D110" s="56" t="inlineStr">
        <is>
          <t>Existing</t>
        </is>
      </c>
    </row>
    <row r="111">
      <c r="A111" s="60" t="inlineStr">
        <is>
          <t>Installation Engineer #1</t>
        </is>
      </c>
      <c r="B111" s="61" t="n">
        <v>1500</v>
      </c>
      <c r="C111" s="61" t="n">
        <v>18000</v>
      </c>
      <c r="D111" s="62" t="inlineStr">
        <is>
          <t>NEW</t>
        </is>
      </c>
    </row>
    <row r="112">
      <c r="A112" s="60" t="inlineStr">
        <is>
          <t>Installation Engineer #2</t>
        </is>
      </c>
      <c r="B112" s="61" t="n">
        <v>1500</v>
      </c>
      <c r="C112" s="61" t="n">
        <v>18000</v>
      </c>
      <c r="D112" s="62" t="inlineStr">
        <is>
          <t>NEW</t>
        </is>
      </c>
    </row>
    <row r="113" ht="13.05" customHeight="1" s="1">
      <c r="A113" s="53" t="inlineStr">
        <is>
          <t xml:space="preserve">  DRIVERS &amp; ADMIN</t>
        </is>
      </c>
    </row>
    <row r="114">
      <c r="A114" s="54" t="inlineStr">
        <is>
          <t>Driver #1</t>
        </is>
      </c>
      <c r="B114" s="55" t="n">
        <v>500</v>
      </c>
      <c r="C114" s="55" t="n">
        <v>6000</v>
      </c>
      <c r="D114" s="56" t="inlineStr">
        <is>
          <t>Existing</t>
        </is>
      </c>
    </row>
    <row r="115">
      <c r="A115" s="57" t="inlineStr">
        <is>
          <t>Driver #2</t>
        </is>
      </c>
      <c r="B115" s="58" t="n">
        <v>500</v>
      </c>
      <c r="C115" s="58" t="n">
        <v>6000</v>
      </c>
      <c r="D115" s="59" t="inlineStr">
        <is>
          <t>Existing</t>
        </is>
      </c>
    </row>
    <row r="116">
      <c r="A116" s="54" t="inlineStr">
        <is>
          <t>Driver #3</t>
        </is>
      </c>
      <c r="B116" s="55" t="n">
        <v>500</v>
      </c>
      <c r="C116" s="55" t="n">
        <v>6000</v>
      </c>
      <c r="D116" s="56" t="inlineStr">
        <is>
          <t>Existing</t>
        </is>
      </c>
    </row>
    <row r="117">
      <c r="A117" s="60" t="inlineStr">
        <is>
          <t>Alex Administrative Asst</t>
        </is>
      </c>
      <c r="B117" s="61" t="n">
        <v>600</v>
      </c>
      <c r="C117" s="61" t="n">
        <v>7200</v>
      </c>
      <c r="D117" s="62" t="inlineStr">
        <is>
          <t>NEW</t>
        </is>
      </c>
    </row>
    <row r="119">
      <c r="A119" s="63" t="inlineStr">
        <is>
          <t>Total Base Salaries (annual):</t>
        </is>
      </c>
      <c r="C119" s="64">
        <f>SUM(C114:C117,C109:C112,C99:C107,C93:C97,C86:C91,C78:C84)</f>
        <v/>
      </c>
      <c r="D119" s="65" t="n"/>
    </row>
    <row r="120">
      <c r="A120" s="63" t="inlineStr">
        <is>
          <t>Social Insurance &amp; Benefits (15%):</t>
        </is>
      </c>
      <c r="C120" s="64">
        <f>C119*15%</f>
        <v/>
      </c>
      <c r="D120" s="65" t="n"/>
    </row>
    <row r="121">
      <c r="A121" s="66" t="inlineStr">
        <is>
          <t>Personnel Sub-total (base + benefits):</t>
        </is>
      </c>
      <c r="C121" s="67">
        <f>SUM(C119:C120)</f>
        <v/>
      </c>
      <c r="D121" s="65" t="n"/>
    </row>
    <row r="122">
      <c r="A122" s="63" t="inlineStr">
        <is>
          <t>Sales Commissions (4% of Egypt revenue $3,743,256):</t>
        </is>
      </c>
      <c r="C122" s="64">
        <f>4%*'Annual P&amp;L Summary Y1-Y5'!D6</f>
        <v/>
      </c>
      <c r="D122" s="65" t="n"/>
    </row>
    <row r="123">
      <c r="A123" s="68" t="inlineStr">
        <is>
          <t>TOTAL ANNUAL PERSONNEL COST:</t>
        </is>
      </c>
      <c r="C123" s="45">
        <f>SUM(C121:C122)</f>
        <v/>
      </c>
      <c r="D123" s="69" t="n"/>
    </row>
    <row r="126" ht="18" customHeight="1" s="1">
      <c r="A126" s="50" t="inlineStr">
        <is>
          <t xml:space="preserve">YEAR 4  (Aug 2029 – Jul 2030)  —  44 Staff  </t>
        </is>
      </c>
    </row>
    <row r="127" ht="28.2" customHeight="1" s="1">
      <c r="A127" s="52" t="inlineStr">
        <is>
          <t>Role</t>
        </is>
      </c>
      <c r="B127" s="52" t="inlineStr">
        <is>
          <t>Monthly
Salary (USD)</t>
        </is>
      </c>
      <c r="C127" s="52" t="inlineStr">
        <is>
          <t>Annual
Salary (USD)</t>
        </is>
      </c>
      <c r="D127" s="52" t="inlineStr">
        <is>
          <t>Status</t>
        </is>
      </c>
    </row>
    <row r="128" ht="13.05" customHeight="1" s="1">
      <c r="A128" s="53" t="inlineStr">
        <is>
          <t xml:space="preserve">  MANAGEMENT</t>
        </is>
      </c>
    </row>
    <row r="129">
      <c r="A129" s="57" t="inlineStr">
        <is>
          <t>CEO / Director</t>
        </is>
      </c>
      <c r="B129" s="58" t="n">
        <v>8000</v>
      </c>
      <c r="C129" s="58">
        <f>B129*12</f>
        <v/>
      </c>
      <c r="D129" s="59" t="inlineStr">
        <is>
          <t>Existing</t>
        </is>
      </c>
    </row>
    <row r="130">
      <c r="A130" s="54" t="inlineStr">
        <is>
          <t>Financial Manager</t>
        </is>
      </c>
      <c r="B130" s="55" t="n">
        <v>4000</v>
      </c>
      <c r="C130" s="55" t="n">
        <v>48000</v>
      </c>
      <c r="D130" s="56" t="inlineStr">
        <is>
          <t>Existing</t>
        </is>
      </c>
    </row>
    <row r="131">
      <c r="A131" s="57" t="inlineStr">
        <is>
          <t>Operations Manager</t>
        </is>
      </c>
      <c r="B131" s="58" t="n">
        <v>4000</v>
      </c>
      <c r="C131" s="58" t="n">
        <v>48000</v>
      </c>
      <c r="D131" s="59" t="inlineStr">
        <is>
          <t>Existing</t>
        </is>
      </c>
    </row>
    <row r="132">
      <c r="A132" s="54" t="inlineStr">
        <is>
          <t>Sales Manager</t>
        </is>
      </c>
      <c r="B132" s="55" t="n">
        <v>3000</v>
      </c>
      <c r="C132" s="55" t="n">
        <v>36000</v>
      </c>
      <c r="D132" s="56" t="inlineStr">
        <is>
          <t>Existing</t>
        </is>
      </c>
    </row>
    <row r="133">
      <c r="A133" s="57" t="inlineStr">
        <is>
          <t>Marketing Manager</t>
        </is>
      </c>
      <c r="B133" s="58" t="n">
        <v>1500</v>
      </c>
      <c r="C133" s="58" t="n">
        <v>18000</v>
      </c>
      <c r="D133" s="59" t="inlineStr">
        <is>
          <t>Existing</t>
        </is>
      </c>
    </row>
    <row r="134">
      <c r="A134" s="54" t="inlineStr">
        <is>
          <t>HR Manager</t>
        </is>
      </c>
      <c r="B134" s="55" t="n">
        <v>1000</v>
      </c>
      <c r="C134" s="55" t="n">
        <v>12000</v>
      </c>
      <c r="D134" s="56" t="inlineStr">
        <is>
          <t>Existing</t>
        </is>
      </c>
    </row>
    <row r="135">
      <c r="A135" s="57" t="inlineStr">
        <is>
          <t>Alexandria Branch Manager</t>
        </is>
      </c>
      <c r="B135" s="58" t="n">
        <v>2000</v>
      </c>
      <c r="C135" s="58" t="n">
        <v>24000</v>
      </c>
      <c r="D135" s="59" t="inlineStr">
        <is>
          <t>Existing</t>
        </is>
      </c>
    </row>
    <row r="136">
      <c r="A136" s="60" t="inlineStr">
        <is>
          <t>B2G / Tenders Manager</t>
        </is>
      </c>
      <c r="B136" s="61" t="n">
        <v>2000</v>
      </c>
      <c r="C136" s="61" t="n">
        <v>24000</v>
      </c>
      <c r="D136" s="62" t="inlineStr">
        <is>
          <t>NEW</t>
        </is>
      </c>
    </row>
    <row r="137">
      <c r="A137" s="60" t="inlineStr">
        <is>
          <t>C&amp;I Sales Manager</t>
        </is>
      </c>
      <c r="B137" s="61" t="n">
        <v>2000</v>
      </c>
      <c r="C137" s="61" t="n">
        <v>24000</v>
      </c>
      <c r="D137" s="62" t="inlineStr">
        <is>
          <t>NEW</t>
        </is>
      </c>
    </row>
    <row r="138" ht="13.05" customHeight="1" s="1">
      <c r="A138" s="53" t="inlineStr">
        <is>
          <t xml:space="preserve">  FINANCE &amp; ADMIN</t>
        </is>
      </c>
    </row>
    <row r="139">
      <c r="A139" s="57" t="inlineStr">
        <is>
          <t>Accountant #1</t>
        </is>
      </c>
      <c r="B139" s="58" t="n">
        <v>800</v>
      </c>
      <c r="C139" s="58" t="n">
        <v>9600</v>
      </c>
      <c r="D139" s="59" t="inlineStr">
        <is>
          <t>Existing</t>
        </is>
      </c>
    </row>
    <row r="140">
      <c r="A140" s="54" t="inlineStr">
        <is>
          <t>Accountant #2</t>
        </is>
      </c>
      <c r="B140" s="55" t="n">
        <v>800</v>
      </c>
      <c r="C140" s="55" t="n">
        <v>9600</v>
      </c>
      <c r="D140" s="56" t="inlineStr">
        <is>
          <t>Existing</t>
        </is>
      </c>
    </row>
    <row r="141">
      <c r="A141" s="60" t="inlineStr">
        <is>
          <t>Senior Accountant</t>
        </is>
      </c>
      <c r="B141" s="61" t="n">
        <v>1500</v>
      </c>
      <c r="C141" s="61" t="n">
        <v>18000</v>
      </c>
      <c r="D141" s="62" t="inlineStr">
        <is>
          <t>NEW</t>
        </is>
      </c>
    </row>
    <row r="142">
      <c r="A142" s="54" t="inlineStr">
        <is>
          <t>Finance Analyst</t>
        </is>
      </c>
      <c r="B142" s="55" t="n">
        <v>1000</v>
      </c>
      <c r="C142" s="55" t="n">
        <v>12000</v>
      </c>
      <c r="D142" s="56" t="inlineStr">
        <is>
          <t>Existing</t>
        </is>
      </c>
    </row>
    <row r="143">
      <c r="A143" s="57" t="inlineStr">
        <is>
          <t>Administrative Asst #1</t>
        </is>
      </c>
      <c r="B143" s="58" t="n">
        <v>600</v>
      </c>
      <c r="C143" s="58" t="n">
        <v>7200</v>
      </c>
      <c r="D143" s="59" t="inlineStr">
        <is>
          <t>Existing</t>
        </is>
      </c>
    </row>
    <row r="144">
      <c r="A144" s="54" t="inlineStr">
        <is>
          <t>Administrative Asst #2</t>
        </is>
      </c>
      <c r="B144" s="55" t="n">
        <v>600</v>
      </c>
      <c r="C144" s="55" t="n">
        <v>7200</v>
      </c>
      <c r="D144" s="56" t="inlineStr">
        <is>
          <t>Existing</t>
        </is>
      </c>
    </row>
    <row r="145">
      <c r="A145" s="57" t="inlineStr">
        <is>
          <t>Administrative Asst #3</t>
        </is>
      </c>
      <c r="B145" s="58" t="n">
        <v>600</v>
      </c>
      <c r="C145" s="58" t="n">
        <v>7200</v>
      </c>
      <c r="D145" s="59" t="inlineStr">
        <is>
          <t>Existing</t>
        </is>
      </c>
    </row>
    <row r="146">
      <c r="A146" s="60" t="inlineStr">
        <is>
          <t>IT / CRM Administrator</t>
        </is>
      </c>
      <c r="B146" s="61" t="n">
        <v>1200</v>
      </c>
      <c r="C146" s="61" t="n">
        <v>14400</v>
      </c>
      <c r="D146" s="62" t="inlineStr">
        <is>
          <t>NEW</t>
        </is>
      </c>
    </row>
    <row r="147" ht="13.05" customHeight="1" s="1">
      <c r="A147" s="53" t="inlineStr">
        <is>
          <t xml:space="preserve">  WAREHOUSE &amp; LOGISTICS</t>
        </is>
      </c>
    </row>
    <row r="148">
      <c r="A148" s="54" t="inlineStr">
        <is>
          <t>Warehouse Manager</t>
        </is>
      </c>
      <c r="B148" s="55" t="n">
        <v>1200</v>
      </c>
      <c r="C148" s="55" t="n">
        <v>14400</v>
      </c>
      <c r="D148" s="56" t="inlineStr">
        <is>
          <t>Existing</t>
        </is>
      </c>
    </row>
    <row r="149">
      <c r="A149" s="57" t="inlineStr">
        <is>
          <t>Warehouse Staff #1</t>
        </is>
      </c>
      <c r="B149" s="58" t="n">
        <v>600</v>
      </c>
      <c r="C149" s="58" t="n">
        <v>7200</v>
      </c>
      <c r="D149" s="59" t="inlineStr">
        <is>
          <t>Existing</t>
        </is>
      </c>
    </row>
    <row r="150">
      <c r="A150" s="54" t="inlineStr">
        <is>
          <t>Warehouse Staff #2</t>
        </is>
      </c>
      <c r="B150" s="55" t="n">
        <v>600</v>
      </c>
      <c r="C150" s="55" t="n">
        <v>7200</v>
      </c>
      <c r="D150" s="56" t="inlineStr">
        <is>
          <t>Existing</t>
        </is>
      </c>
    </row>
    <row r="151">
      <c r="A151" s="60" t="inlineStr">
        <is>
          <t>Warehouse Staff #3</t>
        </is>
      </c>
      <c r="B151" s="61" t="n">
        <v>600</v>
      </c>
      <c r="C151" s="61" t="n">
        <v>7200</v>
      </c>
      <c r="D151" s="62" t="inlineStr">
        <is>
          <t>NEW</t>
        </is>
      </c>
    </row>
    <row r="152">
      <c r="A152" s="54" t="inlineStr">
        <is>
          <t>Logistics Coordinator</t>
        </is>
      </c>
      <c r="B152" s="55" t="n">
        <v>1200</v>
      </c>
      <c r="C152" s="55" t="n">
        <v>14400</v>
      </c>
      <c r="D152" s="56" t="inlineStr">
        <is>
          <t>Existing</t>
        </is>
      </c>
    </row>
    <row r="153">
      <c r="A153" s="57" t="inlineStr">
        <is>
          <t>Supply Chain Analyst</t>
        </is>
      </c>
      <c r="B153" s="58" t="n">
        <v>1000</v>
      </c>
      <c r="C153" s="58" t="n">
        <v>12000</v>
      </c>
      <c r="D153" s="59" t="inlineStr">
        <is>
          <t>Existing</t>
        </is>
      </c>
    </row>
    <row r="154" ht="13.05" customHeight="1" s="1">
      <c r="A154" s="53" t="inlineStr">
        <is>
          <t xml:space="preserve">  SALES</t>
        </is>
      </c>
    </row>
    <row r="155">
      <c r="A155" s="57" t="inlineStr">
        <is>
          <t>Sales Staff #1</t>
        </is>
      </c>
      <c r="B155" s="58" t="n">
        <v>600</v>
      </c>
      <c r="C155" s="58" t="n">
        <v>7200</v>
      </c>
      <c r="D155" s="59" t="inlineStr">
        <is>
          <t>Existing</t>
        </is>
      </c>
    </row>
    <row r="156">
      <c r="A156" s="54" t="inlineStr">
        <is>
          <t>Sales Staff #2</t>
        </is>
      </c>
      <c r="B156" s="55" t="n">
        <v>600</v>
      </c>
      <c r="C156" s="55" t="n">
        <v>7200</v>
      </c>
      <c r="D156" s="56" t="inlineStr">
        <is>
          <t>Existing</t>
        </is>
      </c>
    </row>
    <row r="157">
      <c r="A157" s="57" t="inlineStr">
        <is>
          <t>Sales Staff #3</t>
        </is>
      </c>
      <c r="B157" s="58" t="n">
        <v>600</v>
      </c>
      <c r="C157" s="58" t="n">
        <v>7200</v>
      </c>
      <c r="D157" s="59" t="inlineStr">
        <is>
          <t>Existing</t>
        </is>
      </c>
    </row>
    <row r="158">
      <c r="A158" s="54" t="inlineStr">
        <is>
          <t>Sales Staff #4</t>
        </is>
      </c>
      <c r="B158" s="55" t="n">
        <v>600</v>
      </c>
      <c r="C158" s="55" t="n">
        <v>7200</v>
      </c>
      <c r="D158" s="56" t="inlineStr">
        <is>
          <t>Existing</t>
        </is>
      </c>
    </row>
    <row r="159">
      <c r="A159" s="57" t="inlineStr">
        <is>
          <t>Sales Staff #5</t>
        </is>
      </c>
      <c r="B159" s="58" t="n">
        <v>600</v>
      </c>
      <c r="C159" s="58" t="n">
        <v>7200</v>
      </c>
      <c r="D159" s="59" t="inlineStr">
        <is>
          <t>Existing</t>
        </is>
      </c>
    </row>
    <row r="160">
      <c r="A160" s="54" t="inlineStr">
        <is>
          <t>Sales Staff #6</t>
        </is>
      </c>
      <c r="B160" s="55" t="n">
        <v>600</v>
      </c>
      <c r="C160" s="55" t="n">
        <v>7200</v>
      </c>
      <c r="D160" s="56" t="inlineStr">
        <is>
          <t>Existing</t>
        </is>
      </c>
    </row>
    <row r="161">
      <c r="A161" s="57" t="inlineStr">
        <is>
          <t>Senior Sales Executive</t>
        </is>
      </c>
      <c r="B161" s="58" t="n">
        <v>1200</v>
      </c>
      <c r="C161" s="58" t="n">
        <v>14400</v>
      </c>
      <c r="D161" s="59" t="inlineStr">
        <is>
          <t>Existing</t>
        </is>
      </c>
    </row>
    <row r="162">
      <c r="A162" s="60" t="inlineStr">
        <is>
          <t>C&amp;I Sales Staff #1</t>
        </is>
      </c>
      <c r="B162" s="61" t="n">
        <v>800</v>
      </c>
      <c r="C162" s="61" t="n">
        <v>9600</v>
      </c>
      <c r="D162" s="62" t="inlineStr">
        <is>
          <t>NEW</t>
        </is>
      </c>
    </row>
    <row r="163">
      <c r="A163" s="60" t="inlineStr">
        <is>
          <t>C&amp;I Sales Staff #2</t>
        </is>
      </c>
      <c r="B163" s="61" t="n">
        <v>800</v>
      </c>
      <c r="C163" s="61" t="n">
        <v>9600</v>
      </c>
      <c r="D163" s="62" t="inlineStr">
        <is>
          <t>NEW</t>
        </is>
      </c>
    </row>
    <row r="164">
      <c r="A164" s="54" t="inlineStr">
        <is>
          <t>Alex Sales Staff #1</t>
        </is>
      </c>
      <c r="B164" s="55" t="n">
        <v>600</v>
      </c>
      <c r="C164" s="55" t="n">
        <v>7200</v>
      </c>
      <c r="D164" s="56" t="inlineStr">
        <is>
          <t>Existing</t>
        </is>
      </c>
    </row>
    <row r="165">
      <c r="A165" s="57" t="inlineStr">
        <is>
          <t>Alex Sales Staff #2</t>
        </is>
      </c>
      <c r="B165" s="58" t="n">
        <v>600</v>
      </c>
      <c r="C165" s="58" t="n">
        <v>7200</v>
      </c>
      <c r="D165" s="59" t="inlineStr">
        <is>
          <t>Existing</t>
        </is>
      </c>
    </row>
    <row r="166" ht="13.05" customHeight="1" s="1">
      <c r="A166" s="53" t="inlineStr">
        <is>
          <t xml:space="preserve">  TECHNICAL &amp; SERVICE</t>
        </is>
      </c>
    </row>
    <row r="167">
      <c r="A167" s="57" t="inlineStr">
        <is>
          <t>Customer Service Manager</t>
        </is>
      </c>
      <c r="B167" s="58" t="n">
        <v>1500</v>
      </c>
      <c r="C167" s="58" t="n">
        <v>18000</v>
      </c>
      <c r="D167" s="59" t="inlineStr">
        <is>
          <t>Existing</t>
        </is>
      </c>
    </row>
    <row r="168">
      <c r="A168" s="54" t="inlineStr">
        <is>
          <t>Technical Specialist</t>
        </is>
      </c>
      <c r="B168" s="55" t="n">
        <v>1200</v>
      </c>
      <c r="C168" s="55" t="n">
        <v>14400</v>
      </c>
      <c r="D168" s="56" t="inlineStr">
        <is>
          <t>Existing</t>
        </is>
      </c>
    </row>
    <row r="169">
      <c r="A169" s="57" t="inlineStr">
        <is>
          <t>Installation Engineer #1</t>
        </is>
      </c>
      <c r="B169" s="58" t="n">
        <v>1500</v>
      </c>
      <c r="C169" s="58" t="n">
        <v>18000</v>
      </c>
      <c r="D169" s="59" t="inlineStr">
        <is>
          <t>Existing</t>
        </is>
      </c>
    </row>
    <row r="170">
      <c r="A170" s="54" t="inlineStr">
        <is>
          <t>Installation Engineer #2</t>
        </is>
      </c>
      <c r="B170" s="55" t="n">
        <v>1500</v>
      </c>
      <c r="C170" s="55" t="n">
        <v>18000</v>
      </c>
      <c r="D170" s="56" t="inlineStr">
        <is>
          <t>Existing</t>
        </is>
      </c>
    </row>
    <row r="171">
      <c r="A171" s="60" t="inlineStr">
        <is>
          <t>Maintenance Technician</t>
        </is>
      </c>
      <c r="B171" s="61" t="n">
        <v>800</v>
      </c>
      <c r="C171" s="61" t="n">
        <v>9600</v>
      </c>
      <c r="D171" s="62" t="inlineStr">
        <is>
          <t>NEW</t>
        </is>
      </c>
    </row>
    <row r="172">
      <c r="A172" s="60" t="inlineStr">
        <is>
          <t>Sudan Market Coordinator</t>
        </is>
      </c>
      <c r="B172" s="61" t="n">
        <v>1500</v>
      </c>
      <c r="C172" s="61" t="n">
        <v>18000</v>
      </c>
      <c r="D172" s="62" t="inlineStr">
        <is>
          <t>NEW</t>
        </is>
      </c>
    </row>
    <row r="173" ht="13.05" customHeight="1" s="1">
      <c r="A173" s="53" t="inlineStr">
        <is>
          <t xml:space="preserve">  DRIVERS &amp; ADMIN</t>
        </is>
      </c>
    </row>
    <row r="174">
      <c r="A174" s="54" t="inlineStr">
        <is>
          <t>Driver #1</t>
        </is>
      </c>
      <c r="B174" s="55" t="n">
        <v>500</v>
      </c>
      <c r="C174" s="55" t="n">
        <v>6000</v>
      </c>
      <c r="D174" s="56" t="inlineStr">
        <is>
          <t>Existing</t>
        </is>
      </c>
    </row>
    <row r="175">
      <c r="A175" s="57" t="inlineStr">
        <is>
          <t>Driver #2</t>
        </is>
      </c>
      <c r="B175" s="58" t="n">
        <v>500</v>
      </c>
      <c r="C175" s="58" t="n">
        <v>6000</v>
      </c>
      <c r="D175" s="59" t="inlineStr">
        <is>
          <t>Existing</t>
        </is>
      </c>
    </row>
    <row r="176">
      <c r="A176" s="54" t="inlineStr">
        <is>
          <t>Driver #3</t>
        </is>
      </c>
      <c r="B176" s="55" t="n">
        <v>500</v>
      </c>
      <c r="C176" s="55" t="n">
        <v>6000</v>
      </c>
      <c r="D176" s="56" t="inlineStr">
        <is>
          <t>Existing</t>
        </is>
      </c>
    </row>
    <row r="177">
      <c r="A177" s="57" t="inlineStr">
        <is>
          <t>Alex Administrative Asst</t>
        </is>
      </c>
      <c r="B177" s="58" t="n">
        <v>600</v>
      </c>
      <c r="C177" s="58" t="n">
        <v>7200</v>
      </c>
      <c r="D177" s="59" t="inlineStr">
        <is>
          <t>Existing</t>
        </is>
      </c>
    </row>
    <row r="179">
      <c r="A179" s="63" t="inlineStr">
        <is>
          <t>Total Base Salaries (annual):</t>
        </is>
      </c>
      <c r="C179" s="64">
        <f>SUM(C174:C177,C167:C172,C155:C165,C148:C153,C139:C146,C129:C137)</f>
        <v/>
      </c>
      <c r="D179" s="65" t="n"/>
    </row>
    <row r="180">
      <c r="A180" s="63" t="inlineStr">
        <is>
          <t>Social Insurance &amp; Benefits (15%):</t>
        </is>
      </c>
      <c r="C180" s="64">
        <f>C179*15%</f>
        <v/>
      </c>
      <c r="D180" s="65" t="n"/>
    </row>
    <row r="181">
      <c r="A181" s="66" t="inlineStr">
        <is>
          <t>Personnel Sub-total (base + benefits):</t>
        </is>
      </c>
      <c r="C181" s="67">
        <f>SUM(C179:C180)</f>
        <v/>
      </c>
      <c r="D181" s="65" t="n"/>
    </row>
    <row r="182">
      <c r="A182" s="63" t="inlineStr">
        <is>
          <t>Sales Commissions (4% of Egypt revenue $4,491,907):</t>
        </is>
      </c>
      <c r="C182" s="64">
        <f>'Annual P&amp;L Summary Y1-Y5'!E6*4%</f>
        <v/>
      </c>
      <c r="D182" s="65" t="n"/>
    </row>
    <row r="183">
      <c r="A183" s="68" t="inlineStr">
        <is>
          <t>TOTAL ANNUAL PERSONNEL COST:</t>
        </is>
      </c>
      <c r="C183" s="45">
        <f>SUM(C181:C182)</f>
        <v/>
      </c>
      <c r="D183" s="69" t="n"/>
    </row>
    <row r="186" ht="18" customHeight="1" s="1">
      <c r="A186" s="50" t="inlineStr">
        <is>
          <t>YEAR 5  (Aug 2030 – Jul 2031)  —  55 Staff  |  Note: senior raises applied</t>
        </is>
      </c>
    </row>
    <row r="187" ht="24.6" customHeight="1" s="1">
      <c r="A187" s="52" t="inlineStr">
        <is>
          <t>Role</t>
        </is>
      </c>
      <c r="B187" s="52" t="inlineStr">
        <is>
          <t>Monthly
Salary (USD)</t>
        </is>
      </c>
      <c r="C187" s="52" t="inlineStr">
        <is>
          <t>Annual
Salary (USD)</t>
        </is>
      </c>
      <c r="D187" s="52" t="inlineStr">
        <is>
          <t>Status</t>
        </is>
      </c>
    </row>
    <row r="188" ht="13.05" customHeight="1" s="1">
      <c r="A188" s="53" t="inlineStr">
        <is>
          <t xml:space="preserve">  MANAGEMENT</t>
        </is>
      </c>
    </row>
    <row r="189">
      <c r="A189" s="57" t="inlineStr">
        <is>
          <t>CEO / Director</t>
        </is>
      </c>
      <c r="B189" s="58" t="n">
        <v>10000</v>
      </c>
      <c r="C189" s="58">
        <f>B189*12</f>
        <v/>
      </c>
      <c r="D189" s="59" t="inlineStr">
        <is>
          <t>Existing</t>
        </is>
      </c>
    </row>
    <row r="190">
      <c r="A190" s="54" t="inlineStr">
        <is>
          <t>Financial Manager</t>
        </is>
      </c>
      <c r="B190" s="55" t="n">
        <v>5000</v>
      </c>
      <c r="C190" s="55">
        <f>B190*12</f>
        <v/>
      </c>
      <c r="D190" s="56" t="inlineStr">
        <is>
          <t>Existing</t>
        </is>
      </c>
    </row>
    <row r="191">
      <c r="A191" s="57" t="inlineStr">
        <is>
          <t>Operations Manager</t>
        </is>
      </c>
      <c r="B191" s="58" t="n">
        <v>5000</v>
      </c>
      <c r="C191" s="58">
        <f>B191*12</f>
        <v/>
      </c>
      <c r="D191" s="59" t="inlineStr">
        <is>
          <t>Existing</t>
        </is>
      </c>
    </row>
    <row r="192">
      <c r="A192" s="54" t="inlineStr">
        <is>
          <t>Sales Manager</t>
        </is>
      </c>
      <c r="B192" s="55" t="n">
        <v>4000</v>
      </c>
      <c r="C192" s="55">
        <f>B192*12</f>
        <v/>
      </c>
      <c r="D192" s="56" t="inlineStr">
        <is>
          <t>Existing</t>
        </is>
      </c>
    </row>
    <row r="193">
      <c r="A193" s="57" t="inlineStr">
        <is>
          <t>Marketing Manager</t>
        </is>
      </c>
      <c r="B193" s="58" t="n">
        <v>2500</v>
      </c>
      <c r="C193" s="58">
        <f>B193*12</f>
        <v/>
      </c>
      <c r="D193" s="59" t="inlineStr">
        <is>
          <t>Existing</t>
        </is>
      </c>
    </row>
    <row r="194">
      <c r="A194" s="54" t="inlineStr">
        <is>
          <t>HR Manager</t>
        </is>
      </c>
      <c r="B194" s="55" t="n">
        <v>1500</v>
      </c>
      <c r="C194" s="55">
        <f>B194*12</f>
        <v/>
      </c>
      <c r="D194" s="56" t="inlineStr">
        <is>
          <t>Existing</t>
        </is>
      </c>
    </row>
    <row r="195">
      <c r="A195" s="57" t="inlineStr">
        <is>
          <t>Alexandria Branch Manager</t>
        </is>
      </c>
      <c r="B195" s="58" t="n">
        <v>2000</v>
      </c>
      <c r="C195" s="58">
        <f>B195*12</f>
        <v/>
      </c>
      <c r="D195" s="59" t="inlineStr">
        <is>
          <t>Existing</t>
        </is>
      </c>
    </row>
    <row r="196">
      <c r="A196" s="54" t="inlineStr">
        <is>
          <t>B2G / Tenders Manager</t>
        </is>
      </c>
      <c r="B196" s="55" t="n">
        <v>2000</v>
      </c>
      <c r="C196" s="55">
        <f>B196*12</f>
        <v/>
      </c>
      <c r="D196" s="56" t="inlineStr">
        <is>
          <t>Existing</t>
        </is>
      </c>
    </row>
    <row r="197">
      <c r="A197" s="57" t="inlineStr">
        <is>
          <t>C&amp;I Sales Manager</t>
        </is>
      </c>
      <c r="B197" s="58" t="n">
        <v>2000</v>
      </c>
      <c r="C197" s="58">
        <f>B197*12</f>
        <v/>
      </c>
      <c r="D197" s="59" t="inlineStr">
        <is>
          <t>Existing</t>
        </is>
      </c>
    </row>
    <row r="198">
      <c r="A198" s="60" t="inlineStr">
        <is>
          <t>Libya Market Manager</t>
        </is>
      </c>
      <c r="B198" s="61" t="n">
        <v>3000</v>
      </c>
      <c r="C198" s="61" t="n">
        <v>36000</v>
      </c>
      <c r="D198" s="62" t="inlineStr">
        <is>
          <t>NEW</t>
        </is>
      </c>
    </row>
    <row r="199">
      <c r="A199" s="60" t="inlineStr">
        <is>
          <t>Senior Marketing Manager</t>
        </is>
      </c>
      <c r="B199" s="61" t="n">
        <v>2000</v>
      </c>
      <c r="C199" s="61" t="n">
        <v>24000</v>
      </c>
      <c r="D199" s="62" t="inlineStr">
        <is>
          <t>NEW</t>
        </is>
      </c>
    </row>
    <row r="200" ht="13.05" customHeight="1" s="1">
      <c r="A200" s="53" t="inlineStr">
        <is>
          <t xml:space="preserve">  FINANCE &amp; ADMIN</t>
        </is>
      </c>
    </row>
    <row r="201">
      <c r="A201" s="57" t="inlineStr">
        <is>
          <t>Accountant #1</t>
        </is>
      </c>
      <c r="B201" s="58" t="n">
        <v>800</v>
      </c>
      <c r="C201" s="58" t="n">
        <v>9600</v>
      </c>
      <c r="D201" s="59" t="inlineStr">
        <is>
          <t>Existing</t>
        </is>
      </c>
    </row>
    <row r="202">
      <c r="A202" s="54" t="inlineStr">
        <is>
          <t>Accountant #2</t>
        </is>
      </c>
      <c r="B202" s="55" t="n">
        <v>800</v>
      </c>
      <c r="C202" s="55" t="n">
        <v>9600</v>
      </c>
      <c r="D202" s="56" t="inlineStr">
        <is>
          <t>Existing</t>
        </is>
      </c>
    </row>
    <row r="203">
      <c r="A203" s="57" t="inlineStr">
        <is>
          <t>Senior Accountant</t>
        </is>
      </c>
      <c r="B203" s="58" t="n">
        <v>1500</v>
      </c>
      <c r="C203" s="58" t="n">
        <v>18000</v>
      </c>
      <c r="D203" s="59" t="inlineStr">
        <is>
          <t>Existing</t>
        </is>
      </c>
    </row>
    <row r="204">
      <c r="A204" s="54" t="inlineStr">
        <is>
          <t>Finance Analyst</t>
        </is>
      </c>
      <c r="B204" s="55" t="n">
        <v>1000</v>
      </c>
      <c r="C204" s="55" t="n">
        <v>12000</v>
      </c>
      <c r="D204" s="56" t="inlineStr">
        <is>
          <t>Existing</t>
        </is>
      </c>
    </row>
    <row r="205">
      <c r="A205" s="57" t="inlineStr">
        <is>
          <t>Administrative Asst #1</t>
        </is>
      </c>
      <c r="B205" s="58" t="n">
        <v>600</v>
      </c>
      <c r="C205" s="58" t="n">
        <v>7200</v>
      </c>
      <c r="D205" s="59" t="inlineStr">
        <is>
          <t>Existing</t>
        </is>
      </c>
    </row>
    <row r="206">
      <c r="A206" s="54" t="inlineStr">
        <is>
          <t>Administrative Asst #2</t>
        </is>
      </c>
      <c r="B206" s="55" t="n">
        <v>600</v>
      </c>
      <c r="C206" s="55" t="n">
        <v>7200</v>
      </c>
      <c r="D206" s="56" t="inlineStr">
        <is>
          <t>Existing</t>
        </is>
      </c>
    </row>
    <row r="207">
      <c r="A207" s="57" t="inlineStr">
        <is>
          <t>Administrative Asst #3</t>
        </is>
      </c>
      <c r="B207" s="58" t="n">
        <v>600</v>
      </c>
      <c r="C207" s="58" t="n">
        <v>7200</v>
      </c>
      <c r="D207" s="59" t="inlineStr">
        <is>
          <t>Existing</t>
        </is>
      </c>
    </row>
    <row r="208">
      <c r="A208" s="54" t="inlineStr">
        <is>
          <t>IT / CRM Administrator</t>
        </is>
      </c>
      <c r="B208" s="55" t="n">
        <v>1200</v>
      </c>
      <c r="C208" s="55" t="n">
        <v>14400</v>
      </c>
      <c r="D208" s="56" t="inlineStr">
        <is>
          <t>Existing</t>
        </is>
      </c>
    </row>
    <row r="209">
      <c r="A209" s="60" t="inlineStr">
        <is>
          <t>CRM / Admin Specialist</t>
        </is>
      </c>
      <c r="B209" s="61" t="n">
        <v>700</v>
      </c>
      <c r="C209" s="61" t="n">
        <v>8400</v>
      </c>
      <c r="D209" s="62" t="inlineStr">
        <is>
          <t>NEW</t>
        </is>
      </c>
    </row>
    <row r="210">
      <c r="A210" s="60" t="inlineStr">
        <is>
          <t>Digital Marketing Specialist</t>
        </is>
      </c>
      <c r="B210" s="61" t="n">
        <v>700</v>
      </c>
      <c r="C210" s="61" t="n">
        <v>8400</v>
      </c>
      <c r="D210" s="62" t="inlineStr">
        <is>
          <t>NEW</t>
        </is>
      </c>
    </row>
    <row r="211">
      <c r="A211" s="60" t="inlineStr">
        <is>
          <t>Legal &amp; Compliance Officer</t>
        </is>
      </c>
      <c r="B211" s="61" t="n">
        <v>1500</v>
      </c>
      <c r="C211" s="61" t="n">
        <v>18000</v>
      </c>
      <c r="D211" s="62" t="inlineStr">
        <is>
          <t>NEW</t>
        </is>
      </c>
    </row>
    <row r="212" ht="13.05" customHeight="1" s="1">
      <c r="A212" s="53" t="inlineStr">
        <is>
          <t xml:space="preserve">  WAREHOUSE &amp; LOGISTICS</t>
        </is>
      </c>
    </row>
    <row r="213">
      <c r="A213" s="57" t="inlineStr">
        <is>
          <t>Warehouse Manager</t>
        </is>
      </c>
      <c r="B213" s="58" t="n">
        <v>1200</v>
      </c>
      <c r="C213" s="58" t="n">
        <v>14400</v>
      </c>
      <c r="D213" s="59" t="inlineStr">
        <is>
          <t>Existing</t>
        </is>
      </c>
    </row>
    <row r="214">
      <c r="A214" s="54" t="inlineStr">
        <is>
          <t>Warehouse Staff #1</t>
        </is>
      </c>
      <c r="B214" s="55" t="n">
        <v>600</v>
      </c>
      <c r="C214" s="55" t="n">
        <v>7200</v>
      </c>
      <c r="D214" s="56" t="inlineStr">
        <is>
          <t>Existing</t>
        </is>
      </c>
    </row>
    <row r="215">
      <c r="A215" s="57" t="inlineStr">
        <is>
          <t>Warehouse Staff #2</t>
        </is>
      </c>
      <c r="B215" s="58" t="n">
        <v>600</v>
      </c>
      <c r="C215" s="58" t="n">
        <v>7200</v>
      </c>
      <c r="D215" s="59" t="inlineStr">
        <is>
          <t>Existing</t>
        </is>
      </c>
    </row>
    <row r="216">
      <c r="A216" s="54" t="inlineStr">
        <is>
          <t>Warehouse Staff #3</t>
        </is>
      </c>
      <c r="B216" s="55" t="n">
        <v>600</v>
      </c>
      <c r="C216" s="55" t="n">
        <v>7200</v>
      </c>
      <c r="D216" s="56" t="inlineStr">
        <is>
          <t>Existing</t>
        </is>
      </c>
    </row>
    <row r="217">
      <c r="A217" s="57" t="inlineStr">
        <is>
          <t>Logistics Coordinator</t>
        </is>
      </c>
      <c r="B217" s="58" t="n">
        <v>1200</v>
      </c>
      <c r="C217" s="58" t="n">
        <v>14400</v>
      </c>
      <c r="D217" s="59" t="inlineStr">
        <is>
          <t>Existing</t>
        </is>
      </c>
    </row>
    <row r="218">
      <c r="A218" s="54" t="inlineStr">
        <is>
          <t>Supply Chain Analyst</t>
        </is>
      </c>
      <c r="B218" s="55" t="n">
        <v>1000</v>
      </c>
      <c r="C218" s="55" t="n">
        <v>12000</v>
      </c>
      <c r="D218" s="56" t="inlineStr">
        <is>
          <t>Existing</t>
        </is>
      </c>
    </row>
    <row r="219" ht="13.05" customHeight="1" s="1">
      <c r="A219" s="53" t="inlineStr">
        <is>
          <t xml:space="preserve">  SALES</t>
        </is>
      </c>
    </row>
    <row r="220">
      <c r="A220" s="54" t="inlineStr">
        <is>
          <t>Sales Staff #1</t>
        </is>
      </c>
      <c r="B220" s="55" t="n">
        <v>600</v>
      </c>
      <c r="C220" s="55" t="n">
        <v>7200</v>
      </c>
      <c r="D220" s="56" t="inlineStr">
        <is>
          <t>Existing</t>
        </is>
      </c>
    </row>
    <row r="221">
      <c r="A221" s="57" t="inlineStr">
        <is>
          <t>Sales Staff #2</t>
        </is>
      </c>
      <c r="B221" s="58" t="n">
        <v>600</v>
      </c>
      <c r="C221" s="58" t="n">
        <v>7200</v>
      </c>
      <c r="D221" s="59" t="inlineStr">
        <is>
          <t>Existing</t>
        </is>
      </c>
    </row>
    <row r="222">
      <c r="A222" s="54" t="inlineStr">
        <is>
          <t>Sales Staff #3</t>
        </is>
      </c>
      <c r="B222" s="55" t="n">
        <v>600</v>
      </c>
      <c r="C222" s="55" t="n">
        <v>7200</v>
      </c>
      <c r="D222" s="56" t="inlineStr">
        <is>
          <t>Existing</t>
        </is>
      </c>
    </row>
    <row r="223">
      <c r="A223" s="57" t="inlineStr">
        <is>
          <t>Sales Staff #4</t>
        </is>
      </c>
      <c r="B223" s="58" t="n">
        <v>600</v>
      </c>
      <c r="C223" s="58" t="n">
        <v>7200</v>
      </c>
      <c r="D223" s="59" t="inlineStr">
        <is>
          <t>Existing</t>
        </is>
      </c>
    </row>
    <row r="224">
      <c r="A224" s="54" t="inlineStr">
        <is>
          <t>Sales Staff #5</t>
        </is>
      </c>
      <c r="B224" s="55" t="n">
        <v>600</v>
      </c>
      <c r="C224" s="55" t="n">
        <v>7200</v>
      </c>
      <c r="D224" s="56" t="inlineStr">
        <is>
          <t>Existing</t>
        </is>
      </c>
    </row>
    <row r="225">
      <c r="A225" s="57" t="inlineStr">
        <is>
          <t>Sales Staff #6</t>
        </is>
      </c>
      <c r="B225" s="58" t="n">
        <v>600</v>
      </c>
      <c r="C225" s="58" t="n">
        <v>7200</v>
      </c>
      <c r="D225" s="59" t="inlineStr">
        <is>
          <t>Existing</t>
        </is>
      </c>
    </row>
    <row r="226">
      <c r="A226" s="54" t="inlineStr">
        <is>
          <t>Senior Sales Executive</t>
        </is>
      </c>
      <c r="B226" s="55" t="n">
        <v>1200</v>
      </c>
      <c r="C226" s="55" t="n">
        <v>14400</v>
      </c>
      <c r="D226" s="56" t="inlineStr">
        <is>
          <t>Existing</t>
        </is>
      </c>
    </row>
    <row r="227">
      <c r="A227" s="60" t="inlineStr">
        <is>
          <t>Sales Supervisor</t>
        </is>
      </c>
      <c r="B227" s="61" t="n">
        <v>1500</v>
      </c>
      <c r="C227" s="61" t="n">
        <v>18000</v>
      </c>
      <c r="D227" s="62" t="inlineStr">
        <is>
          <t>NEW</t>
        </is>
      </c>
    </row>
    <row r="228">
      <c r="A228" s="54" t="inlineStr">
        <is>
          <t>C&amp;I Sales Staff #1</t>
        </is>
      </c>
      <c r="B228" s="55" t="n">
        <v>800</v>
      </c>
      <c r="C228" s="55" t="n">
        <v>9600</v>
      </c>
      <c r="D228" s="56" t="inlineStr">
        <is>
          <t>Existing</t>
        </is>
      </c>
    </row>
    <row r="229">
      <c r="A229" s="57" t="inlineStr">
        <is>
          <t>C&amp;I Sales Staff #2</t>
        </is>
      </c>
      <c r="B229" s="58" t="n">
        <v>800</v>
      </c>
      <c r="C229" s="58" t="n">
        <v>9600</v>
      </c>
      <c r="D229" s="59" t="inlineStr">
        <is>
          <t>Existing</t>
        </is>
      </c>
    </row>
    <row r="230">
      <c r="A230" s="60" t="inlineStr">
        <is>
          <t>C&amp;I Sales Staff #3</t>
        </is>
      </c>
      <c r="B230" s="61" t="n">
        <v>800</v>
      </c>
      <c r="C230" s="61" t="n">
        <v>9600</v>
      </c>
      <c r="D230" s="62" t="inlineStr">
        <is>
          <t>NEW</t>
        </is>
      </c>
    </row>
    <row r="231">
      <c r="A231" s="60" t="inlineStr">
        <is>
          <t>C&amp;I Sales Staff #4</t>
        </is>
      </c>
      <c r="B231" s="61" t="n">
        <v>800</v>
      </c>
      <c r="C231" s="61" t="n">
        <v>9600</v>
      </c>
      <c r="D231" s="62" t="inlineStr">
        <is>
          <t>NEW</t>
        </is>
      </c>
    </row>
    <row r="232">
      <c r="A232" s="54" t="inlineStr">
        <is>
          <t>Alex Sales Staff #1</t>
        </is>
      </c>
      <c r="B232" s="55" t="n">
        <v>600</v>
      </c>
      <c r="C232" s="55" t="n">
        <v>7200</v>
      </c>
      <c r="D232" s="56" t="inlineStr">
        <is>
          <t>Existing</t>
        </is>
      </c>
    </row>
    <row r="233">
      <c r="A233" s="57" t="inlineStr">
        <is>
          <t>Alex Sales Staff #2</t>
        </is>
      </c>
      <c r="B233" s="58" t="n">
        <v>600</v>
      </c>
      <c r="C233" s="58" t="n">
        <v>7200</v>
      </c>
      <c r="D233" s="59" t="inlineStr">
        <is>
          <t>Existing</t>
        </is>
      </c>
    </row>
    <row r="234" ht="13.05" customHeight="1" s="1">
      <c r="A234" s="53" t="inlineStr">
        <is>
          <t xml:space="preserve">  TECHNICAL &amp; SERVICE</t>
        </is>
      </c>
    </row>
    <row r="235">
      <c r="A235" s="57" t="inlineStr">
        <is>
          <t>Customer Service Manager</t>
        </is>
      </c>
      <c r="B235" s="58" t="n">
        <v>1500</v>
      </c>
      <c r="C235" s="58" t="n">
        <v>18000</v>
      </c>
      <c r="D235" s="59" t="inlineStr">
        <is>
          <t>Existing</t>
        </is>
      </c>
    </row>
    <row r="236">
      <c r="A236" s="54" t="inlineStr">
        <is>
          <t>Technical Specialist</t>
        </is>
      </c>
      <c r="B236" s="55" t="n">
        <v>1200</v>
      </c>
      <c r="C236" s="55" t="n">
        <v>14400</v>
      </c>
      <c r="D236" s="56" t="inlineStr">
        <is>
          <t>Existing</t>
        </is>
      </c>
    </row>
    <row r="237">
      <c r="A237" s="57" t="inlineStr">
        <is>
          <t>Installation Engineer #1</t>
        </is>
      </c>
      <c r="B237" s="58" t="n">
        <v>1500</v>
      </c>
      <c r="C237" s="58" t="n">
        <v>18000</v>
      </c>
      <c r="D237" s="59" t="inlineStr">
        <is>
          <t>Existing</t>
        </is>
      </c>
    </row>
    <row r="238">
      <c r="A238" s="54" t="inlineStr">
        <is>
          <t>Installation Engineer #2</t>
        </is>
      </c>
      <c r="B238" s="55" t="n">
        <v>1500</v>
      </c>
      <c r="C238" s="55" t="n">
        <v>18000</v>
      </c>
      <c r="D238" s="56" t="inlineStr">
        <is>
          <t>Existing</t>
        </is>
      </c>
    </row>
    <row r="239">
      <c r="A239" s="60" t="inlineStr">
        <is>
          <t>Field Engineer #3</t>
        </is>
      </c>
      <c r="B239" s="61" t="n">
        <v>1500</v>
      </c>
      <c r="C239" s="61" t="n">
        <v>18000</v>
      </c>
      <c r="D239" s="62" t="inlineStr">
        <is>
          <t>NEW</t>
        </is>
      </c>
    </row>
    <row r="240">
      <c r="A240" s="60" t="inlineStr">
        <is>
          <t>Field Engineer #4</t>
        </is>
      </c>
      <c r="B240" s="61" t="n">
        <v>1500</v>
      </c>
      <c r="C240" s="61" t="n">
        <v>18000</v>
      </c>
      <c r="D240" s="62" t="inlineStr">
        <is>
          <t>NEW</t>
        </is>
      </c>
    </row>
    <row r="241">
      <c r="A241" s="57" t="inlineStr">
        <is>
          <t>Maintenance Technician</t>
        </is>
      </c>
      <c r="B241" s="58" t="n">
        <v>800</v>
      </c>
      <c r="C241" s="58" t="n">
        <v>9600</v>
      </c>
      <c r="D241" s="59" t="inlineStr">
        <is>
          <t>Existing</t>
        </is>
      </c>
    </row>
    <row r="242">
      <c r="A242" s="54" t="inlineStr">
        <is>
          <t>Sudan Market Coordinator</t>
        </is>
      </c>
      <c r="B242" s="55" t="n">
        <v>1500</v>
      </c>
      <c r="C242" s="55" t="n">
        <v>18000</v>
      </c>
      <c r="D242" s="56" t="inlineStr">
        <is>
          <t>Existing</t>
        </is>
      </c>
    </row>
    <row r="243" ht="13.05" customHeight="1" s="1">
      <c r="A243" s="53" t="inlineStr">
        <is>
          <t xml:space="preserve">  DRIVERS &amp; ADMIN</t>
        </is>
      </c>
    </row>
    <row r="244">
      <c r="A244" s="54" t="inlineStr">
        <is>
          <t>Driver #1</t>
        </is>
      </c>
      <c r="B244" s="55" t="n">
        <v>500</v>
      </c>
      <c r="C244" s="55" t="n">
        <v>6000</v>
      </c>
      <c r="D244" s="56" t="inlineStr">
        <is>
          <t>Existing</t>
        </is>
      </c>
    </row>
    <row r="245">
      <c r="A245" s="57" t="inlineStr">
        <is>
          <t>Driver #2</t>
        </is>
      </c>
      <c r="B245" s="58" t="n">
        <v>500</v>
      </c>
      <c r="C245" s="58" t="n">
        <v>6000</v>
      </c>
      <c r="D245" s="59" t="inlineStr">
        <is>
          <t>Existing</t>
        </is>
      </c>
    </row>
    <row r="246">
      <c r="A246" s="54" t="inlineStr">
        <is>
          <t>Driver #3</t>
        </is>
      </c>
      <c r="B246" s="55" t="n">
        <v>500</v>
      </c>
      <c r="C246" s="55" t="n">
        <v>6000</v>
      </c>
      <c r="D246" s="56" t="inlineStr">
        <is>
          <t>Existing</t>
        </is>
      </c>
    </row>
    <row r="247">
      <c r="A247" s="60" t="inlineStr">
        <is>
          <t>Driver #4</t>
        </is>
      </c>
      <c r="B247" s="61" t="n">
        <v>500</v>
      </c>
      <c r="C247" s="61" t="n">
        <v>6000</v>
      </c>
      <c r="D247" s="62" t="inlineStr">
        <is>
          <t>NEW</t>
        </is>
      </c>
    </row>
    <row r="248">
      <c r="A248" s="54" t="inlineStr">
        <is>
          <t>Alex Administrative Asst</t>
        </is>
      </c>
      <c r="B248" s="55" t="n">
        <v>600</v>
      </c>
      <c r="C248" s="55" t="n">
        <v>7200</v>
      </c>
      <c r="D248" s="56" t="inlineStr">
        <is>
          <t>Existing</t>
        </is>
      </c>
    </row>
    <row r="250">
      <c r="A250" s="63" t="inlineStr">
        <is>
          <t>Total Base Salaries (annual):</t>
        </is>
      </c>
      <c r="C250" s="64">
        <f>SUM(C244:C248,C235:C242,C220:C233,C213:C218,C201:C211,C189:C199)</f>
        <v/>
      </c>
      <c r="D250" s="65" t="n"/>
    </row>
    <row r="251">
      <c r="A251" s="63" t="inlineStr">
        <is>
          <t>Social Insurance &amp; Benefits (15%):</t>
        </is>
      </c>
      <c r="C251" s="64">
        <f>C250*15%</f>
        <v/>
      </c>
      <c r="D251" s="65" t="n"/>
    </row>
    <row r="252">
      <c r="A252" s="66" t="inlineStr">
        <is>
          <t>Personnel Sub-total (base + benefits):</t>
        </is>
      </c>
      <c r="C252" s="67">
        <f>SUM(C250:C251)</f>
        <v/>
      </c>
      <c r="D252" s="65" t="n"/>
    </row>
    <row r="253">
      <c r="A253" s="63" t="inlineStr">
        <is>
          <t>Sales Commissions (4% of Egypt revenue $5,390,288):</t>
        </is>
      </c>
      <c r="C253" s="64">
        <f>'Annual P&amp;L Summary Y1-Y5'!F6*4%</f>
        <v/>
      </c>
      <c r="D253" s="65" t="n"/>
    </row>
    <row r="254">
      <c r="A254" s="68" t="inlineStr">
        <is>
          <t>TOTAL ANNUAL PERSONNEL COST:</t>
        </is>
      </c>
      <c r="C254" s="45">
        <f>SUM(C252:C253)</f>
        <v/>
      </c>
      <c r="D254" s="69" t="n"/>
    </row>
  </sheetData>
  <mergeCells count="234">
    <mergeCell ref="D202:G202"/>
    <mergeCell ref="D146:G146"/>
    <mergeCell ref="D211:G211"/>
    <mergeCell ref="A188:G188"/>
    <mergeCell ref="D220:G220"/>
    <mergeCell ref="A126:G126"/>
    <mergeCell ref="D121:G121"/>
    <mergeCell ref="A53:G53"/>
    <mergeCell ref="D192:G192"/>
    <mergeCell ref="A35:G35"/>
    <mergeCell ref="D130:G130"/>
    <mergeCell ref="D201:G201"/>
    <mergeCell ref="D68:G68"/>
    <mergeCell ref="D82:G82"/>
    <mergeCell ref="D117:G117"/>
    <mergeCell ref="D231:G231"/>
    <mergeCell ref="D55:G55"/>
    <mergeCell ref="A70:B70"/>
    <mergeCell ref="D240:G240"/>
    <mergeCell ref="D123:G123"/>
    <mergeCell ref="D250:G250"/>
    <mergeCell ref="D132:G132"/>
    <mergeCell ref="D110:G110"/>
    <mergeCell ref="D59:G59"/>
    <mergeCell ref="A48:G48"/>
    <mergeCell ref="D187:G187"/>
    <mergeCell ref="D100:G100"/>
    <mergeCell ref="D109:G109"/>
    <mergeCell ref="D174:G174"/>
    <mergeCell ref="D84:G84"/>
    <mergeCell ref="D237:G237"/>
    <mergeCell ref="D155:G155"/>
    <mergeCell ref="D149:G149"/>
    <mergeCell ref="D158:G158"/>
    <mergeCell ref="A251:B251"/>
    <mergeCell ref="D229:G229"/>
    <mergeCell ref="D45:G45"/>
    <mergeCell ref="D86:G86"/>
    <mergeCell ref="D239:G239"/>
    <mergeCell ref="D213:G213"/>
    <mergeCell ref="D95:G95"/>
    <mergeCell ref="D151:G151"/>
    <mergeCell ref="A128:G128"/>
    <mergeCell ref="D160:G160"/>
    <mergeCell ref="A253:B253"/>
    <mergeCell ref="D254:G254"/>
    <mergeCell ref="D136:G136"/>
    <mergeCell ref="D141:G141"/>
    <mergeCell ref="D70:G70"/>
    <mergeCell ref="D150:G150"/>
    <mergeCell ref="D215:G215"/>
    <mergeCell ref="D97:G97"/>
    <mergeCell ref="A68:B68"/>
    <mergeCell ref="D238:G238"/>
    <mergeCell ref="D72:G72"/>
    <mergeCell ref="D78:G78"/>
    <mergeCell ref="D134:G134"/>
    <mergeCell ref="D205:G205"/>
    <mergeCell ref="D87:G87"/>
    <mergeCell ref="D112:G112"/>
    <mergeCell ref="D62:G62"/>
    <mergeCell ref="D122:G122"/>
    <mergeCell ref="D56:G56"/>
    <mergeCell ref="A234:G234"/>
    <mergeCell ref="D193:G193"/>
    <mergeCell ref="D127:G127"/>
    <mergeCell ref="D71:G71"/>
    <mergeCell ref="D176:G176"/>
    <mergeCell ref="D58:G58"/>
    <mergeCell ref="D114:G114"/>
    <mergeCell ref="A182:B182"/>
    <mergeCell ref="D177:G177"/>
    <mergeCell ref="D64:G64"/>
    <mergeCell ref="D226:G226"/>
    <mergeCell ref="D164:G164"/>
    <mergeCell ref="D51:G51"/>
    <mergeCell ref="A63:G63"/>
    <mergeCell ref="D88:G88"/>
    <mergeCell ref="D241:G241"/>
    <mergeCell ref="A173:G173"/>
    <mergeCell ref="D148:G148"/>
    <mergeCell ref="A2:O2"/>
    <mergeCell ref="D50:G50"/>
    <mergeCell ref="D228:G228"/>
    <mergeCell ref="A77:G77"/>
    <mergeCell ref="D44:G44"/>
    <mergeCell ref="D115:G115"/>
    <mergeCell ref="A92:G92"/>
    <mergeCell ref="A166:G166"/>
    <mergeCell ref="D203:G203"/>
    <mergeCell ref="D172:G172"/>
    <mergeCell ref="D90:G90"/>
    <mergeCell ref="D34:G34"/>
    <mergeCell ref="A138:G138"/>
    <mergeCell ref="D99:G99"/>
    <mergeCell ref="D131:G131"/>
    <mergeCell ref="A179:B179"/>
    <mergeCell ref="D140:G140"/>
    <mergeCell ref="D36:G36"/>
    <mergeCell ref="A71:B71"/>
    <mergeCell ref="D101:G101"/>
    <mergeCell ref="D195:G195"/>
    <mergeCell ref="A181:B181"/>
    <mergeCell ref="D189:G189"/>
    <mergeCell ref="D204:G204"/>
    <mergeCell ref="D198:G198"/>
    <mergeCell ref="A75:G75"/>
    <mergeCell ref="D179:G179"/>
    <mergeCell ref="D61:G61"/>
    <mergeCell ref="D224:G224"/>
    <mergeCell ref="A180:B180"/>
    <mergeCell ref="D197:G197"/>
    <mergeCell ref="D253:G253"/>
    <mergeCell ref="D135:G135"/>
    <mergeCell ref="D206:G206"/>
    <mergeCell ref="D47:G47"/>
    <mergeCell ref="D175:G175"/>
    <mergeCell ref="D181:G181"/>
    <mergeCell ref="A113:G113"/>
    <mergeCell ref="D103:G103"/>
    <mergeCell ref="D37:G37"/>
    <mergeCell ref="D230:G230"/>
    <mergeCell ref="D168:G168"/>
    <mergeCell ref="D235:G235"/>
    <mergeCell ref="D165:G165"/>
    <mergeCell ref="A219:G219"/>
    <mergeCell ref="D180:G180"/>
    <mergeCell ref="D152:G152"/>
    <mergeCell ref="D167:G167"/>
    <mergeCell ref="D39:G39"/>
    <mergeCell ref="A200:G200"/>
    <mergeCell ref="D161:G161"/>
    <mergeCell ref="D232:G232"/>
    <mergeCell ref="A147:G147"/>
    <mergeCell ref="A119:B119"/>
    <mergeCell ref="D142:G142"/>
    <mergeCell ref="D38:G38"/>
    <mergeCell ref="D216:G216"/>
    <mergeCell ref="D129:G129"/>
    <mergeCell ref="D89:G89"/>
    <mergeCell ref="D169:G169"/>
    <mergeCell ref="A69:B69"/>
    <mergeCell ref="D252:G252"/>
    <mergeCell ref="D79:G79"/>
    <mergeCell ref="A183:B183"/>
    <mergeCell ref="D144:G144"/>
    <mergeCell ref="A186:G186"/>
    <mergeCell ref="D153:G153"/>
    <mergeCell ref="D218:G218"/>
    <mergeCell ref="D247:G247"/>
    <mergeCell ref="A60:G60"/>
    <mergeCell ref="A120:B120"/>
    <mergeCell ref="D81:G81"/>
    <mergeCell ref="D208:G208"/>
    <mergeCell ref="D217:G217"/>
    <mergeCell ref="D65:G65"/>
    <mergeCell ref="D105:G105"/>
    <mergeCell ref="D139:G139"/>
    <mergeCell ref="D52:G52"/>
    <mergeCell ref="D49:G49"/>
    <mergeCell ref="D242:G242"/>
    <mergeCell ref="D120:G120"/>
    <mergeCell ref="A108:G108"/>
    <mergeCell ref="D194:G194"/>
    <mergeCell ref="D107:G107"/>
    <mergeCell ref="D163:G163"/>
    <mergeCell ref="D76:G76"/>
    <mergeCell ref="D116:G116"/>
    <mergeCell ref="D91:G91"/>
    <mergeCell ref="D66:G66"/>
    <mergeCell ref="D244:G244"/>
    <mergeCell ref="D171:G171"/>
    <mergeCell ref="A1:O1"/>
    <mergeCell ref="D106:G106"/>
    <mergeCell ref="D93:G93"/>
    <mergeCell ref="D221:G221"/>
    <mergeCell ref="D102:G102"/>
    <mergeCell ref="D196:G196"/>
    <mergeCell ref="D83:G83"/>
    <mergeCell ref="D236:G236"/>
    <mergeCell ref="D143:G143"/>
    <mergeCell ref="D157:G157"/>
    <mergeCell ref="A123:B123"/>
    <mergeCell ref="D223:G223"/>
    <mergeCell ref="A250:B250"/>
    <mergeCell ref="D251:G251"/>
    <mergeCell ref="D133:G133"/>
    <mergeCell ref="D207:G207"/>
    <mergeCell ref="D54:G54"/>
    <mergeCell ref="D94:G94"/>
    <mergeCell ref="A252:B252"/>
    <mergeCell ref="D182:G182"/>
    <mergeCell ref="D69:G69"/>
    <mergeCell ref="D222:G222"/>
    <mergeCell ref="D191:G191"/>
    <mergeCell ref="A98:G98"/>
    <mergeCell ref="D119:G119"/>
    <mergeCell ref="D190:G190"/>
    <mergeCell ref="D246:G246"/>
    <mergeCell ref="D159:G159"/>
    <mergeCell ref="D46:G46"/>
    <mergeCell ref="D199:G199"/>
    <mergeCell ref="D40:G40"/>
    <mergeCell ref="D233:G233"/>
    <mergeCell ref="D111:G111"/>
    <mergeCell ref="D80:G80"/>
    <mergeCell ref="D183:G183"/>
    <mergeCell ref="D96:G96"/>
    <mergeCell ref="D248:G248"/>
    <mergeCell ref="A254:B254"/>
    <mergeCell ref="D104:G104"/>
    <mergeCell ref="D170:G170"/>
    <mergeCell ref="D57:G57"/>
    <mergeCell ref="A212:G212"/>
    <mergeCell ref="A243:G243"/>
    <mergeCell ref="A122:B122"/>
    <mergeCell ref="D145:G145"/>
    <mergeCell ref="D41:G41"/>
    <mergeCell ref="D210:G210"/>
    <mergeCell ref="D225:G225"/>
    <mergeCell ref="A72:B72"/>
    <mergeCell ref="A154:G154"/>
    <mergeCell ref="A121:B121"/>
    <mergeCell ref="D209:G209"/>
    <mergeCell ref="D162:G162"/>
    <mergeCell ref="D245:G245"/>
    <mergeCell ref="D214:G214"/>
    <mergeCell ref="D227:G227"/>
    <mergeCell ref="D156:G156"/>
    <mergeCell ref="A33:G33"/>
    <mergeCell ref="D43:G43"/>
    <mergeCell ref="A85:G85"/>
    <mergeCell ref="A42:G42"/>
    <mergeCell ref="D137:G13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5"/>
  <sheetViews>
    <sheetView showGridLines="0" workbookViewId="0">
      <pane xSplit="1" ySplit="4" topLeftCell="B5" activePane="bottomRight" state="frozen"/>
      <selection activeCell="B6" sqref="B6"/>
      <selection pane="topRight" activeCell="B6" sqref="B6"/>
      <selection pane="bottomLeft" activeCell="B6" sqref="B6"/>
      <selection pane="bottomRight" activeCell="N82" sqref="N82"/>
    </sheetView>
  </sheetViews>
  <sheetFormatPr baseColWidth="8" defaultRowHeight="13.8"/>
  <cols>
    <col width="39.88671875" customWidth="1" style="170" min="1" max="1"/>
    <col width="11" customWidth="1" style="170" min="2" max="13"/>
    <col width="13" customWidth="1" style="170" min="14" max="14"/>
    <col width="9.6640625" bestFit="1" customWidth="1" style="170" min="15" max="15"/>
    <col width="8.88671875" customWidth="1" style="170" min="16" max="16384"/>
  </cols>
  <sheetData>
    <row r="1" ht="28.05" customHeight="1" s="1">
      <c r="A1" s="168" t="inlineStr">
        <is>
          <t>NORCO General Trading L.L.C. — Vestwoods Egypt 5-Year Business Plan</t>
        </is>
      </c>
    </row>
    <row r="2" ht="18" customHeight="1" s="1">
      <c r="A2" s="171" t="inlineStr">
        <is>
          <t>Monthly Profit &amp; Loss Statement — Year 1 (August 2026 – July 2027)  |  All figures in USD</t>
        </is>
      </c>
    </row>
    <row r="3" ht="6" customHeight="1" s="1"/>
    <row r="4" ht="29.4" customHeight="1" s="1">
      <c r="A4" s="175" t="inlineStr">
        <is>
          <t>DESCRIPTION</t>
        </is>
      </c>
      <c r="B4" s="173" t="inlineStr">
        <is>
          <t>Aug-26</t>
        </is>
      </c>
      <c r="C4" s="173" t="inlineStr">
        <is>
          <t>Sep-26</t>
        </is>
      </c>
      <c r="D4" s="173" t="inlineStr">
        <is>
          <t>Oct-26</t>
        </is>
      </c>
      <c r="E4" s="173" t="inlineStr">
        <is>
          <t>Nov-26</t>
        </is>
      </c>
      <c r="F4" s="173" t="inlineStr">
        <is>
          <t>Dec-26</t>
        </is>
      </c>
      <c r="G4" s="173" t="inlineStr">
        <is>
          <t>Jan-27</t>
        </is>
      </c>
      <c r="H4" s="173" t="inlineStr">
        <is>
          <t>Feb-27</t>
        </is>
      </c>
      <c r="I4" s="173" t="inlineStr">
        <is>
          <t>Mar-27</t>
        </is>
      </c>
      <c r="J4" s="173" t="inlineStr">
        <is>
          <t>Apr-27</t>
        </is>
      </c>
      <c r="K4" s="173" t="inlineStr">
        <is>
          <t>May-27</t>
        </is>
      </c>
      <c r="L4" s="173" t="inlineStr">
        <is>
          <t>Jun-27</t>
        </is>
      </c>
      <c r="M4" s="173" t="inlineStr">
        <is>
          <t>Jul-27</t>
        </is>
      </c>
      <c r="N4" s="174" t="inlineStr">
        <is>
          <t>TOTAL
Year 1</t>
        </is>
      </c>
    </row>
    <row r="5" ht="19.95" customHeight="1" s="1">
      <c r="A5" s="175" t="inlineStr">
        <is>
          <t xml:space="preserve">  REVENUE</t>
        </is>
      </c>
    </row>
    <row r="6">
      <c r="A6" s="176" t="inlineStr">
        <is>
          <t>Egypt -  Vestwoods Sales</t>
        </is>
      </c>
      <c r="B6" s="139" t="n">
        <v>20000</v>
      </c>
      <c r="C6" s="139" t="n">
        <v>40000</v>
      </c>
      <c r="D6" s="139" t="n">
        <v>119483</v>
      </c>
      <c r="E6" s="139" t="n">
        <v>200000</v>
      </c>
      <c r="F6" s="139" t="n">
        <v>220000</v>
      </c>
      <c r="G6" s="139" t="n">
        <v>230000</v>
      </c>
      <c r="H6" s="139" t="n">
        <v>220000</v>
      </c>
      <c r="I6" s="139" t="n">
        <v>230000</v>
      </c>
      <c r="J6" s="139" t="n">
        <v>270000</v>
      </c>
      <c r="K6" s="139" t="n">
        <v>300000</v>
      </c>
      <c r="L6" s="139" t="n">
        <v>350000</v>
      </c>
      <c r="M6" s="139" t="n">
        <v>400000</v>
      </c>
      <c r="N6" s="177">
        <f>SUM(B6:M6)</f>
        <v/>
      </c>
      <c r="P6" s="178" t="n"/>
    </row>
    <row r="7">
      <c r="A7" s="176" t="inlineStr">
        <is>
          <t>Sudan - Vestwoods Sales</t>
        </is>
      </c>
      <c r="B7" s="139" t="n">
        <v>0</v>
      </c>
      <c r="C7" s="139" t="n">
        <v>0</v>
      </c>
      <c r="D7" s="139" t="n">
        <v>0</v>
      </c>
      <c r="E7" s="139" t="n">
        <v>0</v>
      </c>
      <c r="F7" s="139" t="n">
        <v>0</v>
      </c>
      <c r="G7" s="139" t="n">
        <v>393861</v>
      </c>
      <c r="H7" s="139" t="n">
        <v>0</v>
      </c>
      <c r="I7" s="139" t="n">
        <v>393861</v>
      </c>
      <c r="J7" s="139" t="n">
        <v>0</v>
      </c>
      <c r="K7" s="139" t="n">
        <v>393861</v>
      </c>
      <c r="L7" s="139" t="n">
        <v>0</v>
      </c>
      <c r="M7" s="139" t="n">
        <v>393861</v>
      </c>
      <c r="N7" s="177">
        <f>SUM(B7:M7)</f>
        <v/>
      </c>
    </row>
    <row r="8">
      <c r="A8" s="176" t="inlineStr">
        <is>
          <t>Algeria - Vestwoods Sales (from M8 - LC)</t>
        </is>
      </c>
      <c r="B8" s="139" t="n">
        <v>0</v>
      </c>
      <c r="C8" s="139" t="n">
        <v>0</v>
      </c>
      <c r="D8" s="139" t="n">
        <v>0</v>
      </c>
      <c r="E8" s="139" t="n">
        <v>0</v>
      </c>
      <c r="F8" s="139" t="n">
        <v>0</v>
      </c>
      <c r="G8" s="139" t="n">
        <v>0</v>
      </c>
      <c r="H8" s="139" t="n">
        <v>0</v>
      </c>
      <c r="I8" s="139" t="n">
        <v>393861</v>
      </c>
      <c r="J8" s="139" t="n">
        <v>0</v>
      </c>
      <c r="K8" s="139" t="n">
        <v>393861</v>
      </c>
      <c r="L8" s="139" t="n">
        <v>0</v>
      </c>
      <c r="M8" s="139" t="n">
        <v>393861</v>
      </c>
      <c r="N8" s="177">
        <f>SUM(B8:M8)</f>
        <v/>
      </c>
    </row>
    <row r="9">
      <c r="A9" s="176" t="inlineStr">
        <is>
          <t>Egypt - Al Reem Plastics Sales</t>
        </is>
      </c>
      <c r="B9" s="139" t="n"/>
      <c r="C9" s="139" t="n">
        <v>20000</v>
      </c>
      <c r="D9" s="139" t="n">
        <v>30000</v>
      </c>
      <c r="E9" s="139" t="n">
        <v>40000</v>
      </c>
      <c r="F9" s="139" t="n">
        <v>50000</v>
      </c>
      <c r="G9" s="139" t="n">
        <v>50000</v>
      </c>
      <c r="H9" s="139" t="n">
        <v>50000</v>
      </c>
      <c r="I9" s="139" t="n">
        <v>56883</v>
      </c>
      <c r="J9" s="139" t="n">
        <v>50000</v>
      </c>
      <c r="K9" s="139" t="n">
        <v>70000</v>
      </c>
      <c r="L9" s="139" t="n">
        <v>80000</v>
      </c>
      <c r="M9" s="139" t="n">
        <v>80000</v>
      </c>
      <c r="N9" s="177">
        <f>SUM(B9:M9)</f>
        <v/>
      </c>
      <c r="P9" s="178" t="n"/>
    </row>
    <row r="10">
      <c r="A10" s="176" t="inlineStr">
        <is>
          <t>Sudan - Al Reem Plastics Sales</t>
        </is>
      </c>
      <c r="B10" s="139" t="n"/>
      <c r="C10" s="139" t="n"/>
      <c r="D10" s="139" t="n"/>
      <c r="E10" s="139" t="n"/>
      <c r="F10" s="139" t="n"/>
      <c r="G10" s="139" t="n">
        <v>52444</v>
      </c>
      <c r="H10" s="139" t="n"/>
      <c r="I10" s="139" t="n">
        <v>52444</v>
      </c>
      <c r="J10" s="139" t="n"/>
      <c r="K10" s="139">
        <f>52444*2</f>
        <v/>
      </c>
      <c r="L10" s="139" t="n"/>
      <c r="M10" s="139" t="n">
        <v>52444</v>
      </c>
      <c r="N10" s="177">
        <f>SUM(B10:M10)</f>
        <v/>
      </c>
    </row>
    <row r="11" ht="18" customHeight="1" s="1">
      <c r="A11" s="179" t="inlineStr">
        <is>
          <t>TOTAL REVENUE</t>
        </is>
      </c>
      <c r="B11" s="180">
        <f>SUM(B6:B10)</f>
        <v/>
      </c>
      <c r="C11" s="180">
        <f>SUM(C6:C10)</f>
        <v/>
      </c>
      <c r="D11" s="180">
        <f>SUM(D6:D10)</f>
        <v/>
      </c>
      <c r="E11" s="180">
        <f>SUM(E6:E10)</f>
        <v/>
      </c>
      <c r="F11" s="180">
        <f>SUM(F6:F10)</f>
        <v/>
      </c>
      <c r="G11" s="180">
        <f>SUM(G6:G10)</f>
        <v/>
      </c>
      <c r="H11" s="180">
        <f>SUM(H6:H10)</f>
        <v/>
      </c>
      <c r="I11" s="180">
        <f>SUM(I6:I10)</f>
        <v/>
      </c>
      <c r="J11" s="180">
        <f>SUM(J6:J10)</f>
        <v/>
      </c>
      <c r="K11" s="180">
        <f>SUM(K6:K10)</f>
        <v/>
      </c>
      <c r="L11" s="180">
        <f>SUM(L6:L10)</f>
        <v/>
      </c>
      <c r="M11" s="180">
        <f>SUM(M6:M10)</f>
        <v/>
      </c>
      <c r="N11" s="180">
        <f>SUM(N6:N10)</f>
        <v/>
      </c>
    </row>
    <row r="12" ht="19.95" customHeight="1" s="1">
      <c r="A12" s="175" t="inlineStr">
        <is>
          <t xml:space="preserve">  COST OF GOODS SOLD</t>
        </is>
      </c>
    </row>
    <row r="13" ht="26.4" customHeight="1" s="1">
      <c r="A13" s="181" t="inlineStr">
        <is>
          <t>Egypt Product Cost (79% of Egypt Sales — 50% I LOCK wholesale + 50% direct retail)</t>
        </is>
      </c>
      <c r="B13" s="182" t="n">
        <v>15800</v>
      </c>
      <c r="C13" s="182" t="n">
        <v>31600</v>
      </c>
      <c r="D13" s="182" t="n">
        <v>94391.60000000001</v>
      </c>
      <c r="E13" s="182" t="n">
        <v>158000</v>
      </c>
      <c r="F13" s="182" t="n">
        <v>173800</v>
      </c>
      <c r="G13" s="182" t="n">
        <v>181700</v>
      </c>
      <c r="H13" s="182" t="n">
        <v>173800</v>
      </c>
      <c r="I13" s="182" t="n">
        <v>181700</v>
      </c>
      <c r="J13" s="182" t="n">
        <v>213300</v>
      </c>
      <c r="K13" s="182" t="n">
        <v>237000</v>
      </c>
      <c r="L13" s="182" t="n">
        <v>276500</v>
      </c>
      <c r="M13" s="182" t="n">
        <v>316000</v>
      </c>
      <c r="N13" s="182">
        <f>SUM(B13:M13)</f>
        <v/>
      </c>
      <c r="P13" s="178" t="n"/>
    </row>
    <row r="14">
      <c r="A14" s="176" t="inlineStr">
        <is>
          <t>Sudan Product Cost (50% of Sudan Sales)</t>
        </is>
      </c>
      <c r="B14" s="182">
        <f>B7*50%</f>
        <v/>
      </c>
      <c r="C14" s="182">
        <f>C7*50%</f>
        <v/>
      </c>
      <c r="D14" s="182">
        <f>D7*50%</f>
        <v/>
      </c>
      <c r="E14" s="182">
        <f>E7*50%</f>
        <v/>
      </c>
      <c r="F14" s="182">
        <f>F7*50%</f>
        <v/>
      </c>
      <c r="G14" s="182">
        <f>G7*50%</f>
        <v/>
      </c>
      <c r="H14" s="182">
        <f>H7*50%</f>
        <v/>
      </c>
      <c r="I14" s="182">
        <f>I7*50%</f>
        <v/>
      </c>
      <c r="J14" s="182">
        <f>J7*50%</f>
        <v/>
      </c>
      <c r="K14" s="182">
        <f>K7*50%</f>
        <v/>
      </c>
      <c r="L14" s="182">
        <f>L7*50%</f>
        <v/>
      </c>
      <c r="M14" s="182">
        <f>M7*50%</f>
        <v/>
      </c>
      <c r="N14" s="182">
        <f>SUM(B14:M14)</f>
        <v/>
      </c>
    </row>
    <row r="15">
      <c r="A15" s="176" t="inlineStr">
        <is>
          <t>Algeria COGS (50%)</t>
        </is>
      </c>
      <c r="B15" s="182">
        <f>B8*50%</f>
        <v/>
      </c>
      <c r="C15" s="182">
        <f>C8*50%</f>
        <v/>
      </c>
      <c r="D15" s="182">
        <f>D8*50%</f>
        <v/>
      </c>
      <c r="E15" s="182">
        <f>E8*50%</f>
        <v/>
      </c>
      <c r="F15" s="182">
        <f>F8*50%</f>
        <v/>
      </c>
      <c r="G15" s="182">
        <f>G8*50%</f>
        <v/>
      </c>
      <c r="H15" s="182">
        <f>H8*50%</f>
        <v/>
      </c>
      <c r="I15" s="182">
        <f>I8*50%</f>
        <v/>
      </c>
      <c r="J15" s="182">
        <f>J8*50%</f>
        <v/>
      </c>
      <c r="K15" s="182">
        <f>K8*50%</f>
        <v/>
      </c>
      <c r="L15" s="182">
        <f>L8*50%</f>
        <v/>
      </c>
      <c r="M15" s="182">
        <f>M8*50%</f>
        <v/>
      </c>
      <c r="N15" s="182">
        <f>SUM(B15:M15)</f>
        <v/>
      </c>
    </row>
    <row r="16">
      <c r="A16" s="176" t="inlineStr">
        <is>
          <t>Egypt - Al Reem Plastics COGS (75%)</t>
        </is>
      </c>
      <c r="B16" s="139" t="n">
        <v>0</v>
      </c>
      <c r="C16" s="139" t="n">
        <v>15000</v>
      </c>
      <c r="D16" s="139" t="n">
        <v>22500</v>
      </c>
      <c r="E16" s="139" t="n">
        <v>30000</v>
      </c>
      <c r="F16" s="139" t="n">
        <v>37500</v>
      </c>
      <c r="G16" s="139" t="n">
        <v>37500</v>
      </c>
      <c r="H16" s="139" t="n">
        <v>37500</v>
      </c>
      <c r="I16" s="139" t="n">
        <v>42662.2</v>
      </c>
      <c r="J16" s="139" t="n">
        <v>37500</v>
      </c>
      <c r="K16" s="139" t="n">
        <v>52500</v>
      </c>
      <c r="L16" s="139" t="n">
        <v>60000</v>
      </c>
      <c r="M16" s="139" t="n">
        <v>60000</v>
      </c>
      <c r="N16" s="177">
        <f>SUM(B16:M16)</f>
        <v/>
      </c>
      <c r="P16" s="178" t="n"/>
    </row>
    <row r="17">
      <c r="A17" s="176" t="inlineStr">
        <is>
          <t>Sudan - Al Reem Plastics COGS (82.64%)</t>
        </is>
      </c>
      <c r="B17" s="139" t="n">
        <v>0</v>
      </c>
      <c r="C17" s="139" t="n">
        <v>0</v>
      </c>
      <c r="D17" s="139" t="n">
        <v>0</v>
      </c>
      <c r="E17" s="139" t="n">
        <v>0</v>
      </c>
      <c r="F17" s="139" t="n">
        <v>0</v>
      </c>
      <c r="G17" s="139" t="n">
        <v>43339.7</v>
      </c>
      <c r="H17" s="139" t="n">
        <v>0</v>
      </c>
      <c r="I17" s="139" t="n">
        <v>43339.7</v>
      </c>
      <c r="J17" s="139" t="n">
        <v>0</v>
      </c>
      <c r="K17" s="139" t="n">
        <v>86679.39999999999</v>
      </c>
      <c r="L17" s="139" t="n">
        <v>0</v>
      </c>
      <c r="M17" s="139" t="n">
        <v>43339.7</v>
      </c>
      <c r="N17" s="177">
        <f>SUM(B17:M17)</f>
        <v/>
      </c>
    </row>
    <row r="18" ht="18" customHeight="1" s="1">
      <c r="A18" s="183" t="inlineStr">
        <is>
          <t>TOTAL COGS</t>
        </is>
      </c>
      <c r="B18" s="184" t="n">
        <v>15800</v>
      </c>
      <c r="C18" s="184" t="n">
        <v>46600</v>
      </c>
      <c r="D18" s="184" t="n">
        <v>116891.6</v>
      </c>
      <c r="E18" s="184" t="n">
        <v>188000</v>
      </c>
      <c r="F18" s="184" t="n">
        <v>211300</v>
      </c>
      <c r="G18" s="184" t="n">
        <v>459470.2</v>
      </c>
      <c r="H18" s="184" t="n">
        <v>211300</v>
      </c>
      <c r="I18" s="184" t="n">
        <v>661562.9</v>
      </c>
      <c r="J18" s="184" t="n">
        <v>250800</v>
      </c>
      <c r="K18" s="184" t="n">
        <v>770040.4</v>
      </c>
      <c r="L18" s="184" t="n">
        <v>336500</v>
      </c>
      <c r="M18" s="184" t="n">
        <v>813200.7</v>
      </c>
      <c r="N18" s="184">
        <f>SUM(B18:M18)</f>
        <v/>
      </c>
    </row>
    <row r="19" ht="18" customHeight="1" s="1">
      <c r="A19" s="185" t="inlineStr">
        <is>
          <t>GROSS PROFIT</t>
        </is>
      </c>
      <c r="B19" s="186" t="n">
        <v>4200</v>
      </c>
      <c r="C19" s="186" t="n">
        <v>13400</v>
      </c>
      <c r="D19" s="186" t="n">
        <v>32591.4</v>
      </c>
      <c r="E19" s="186" t="n">
        <v>52000</v>
      </c>
      <c r="F19" s="186" t="n">
        <v>58700</v>
      </c>
      <c r="G19" s="186" t="n">
        <v>266834.8</v>
      </c>
      <c r="H19" s="186" t="n">
        <v>58700</v>
      </c>
      <c r="I19" s="186" t="n">
        <v>465486.1</v>
      </c>
      <c r="J19" s="186" t="n">
        <v>69200</v>
      </c>
      <c r="K19" s="186" t="n">
        <v>492569.6</v>
      </c>
      <c r="L19" s="186" t="n">
        <v>93500</v>
      </c>
      <c r="M19" s="186" t="n">
        <v>506965.3</v>
      </c>
      <c r="N19" s="186">
        <f>SUM(B19:M19)</f>
        <v/>
      </c>
    </row>
    <row r="20">
      <c r="A20" s="187" t="inlineStr">
        <is>
          <t>Gross Margin %</t>
        </is>
      </c>
      <c r="B20" s="188" t="n">
        <v>0.21</v>
      </c>
      <c r="C20" s="188" t="n">
        <v>0.223</v>
      </c>
      <c r="D20" s="188" t="n">
        <v>0.218</v>
      </c>
      <c r="E20" s="188" t="n">
        <v>0.217</v>
      </c>
      <c r="F20" s="188" t="n">
        <v>0.217</v>
      </c>
      <c r="G20" s="188" t="n">
        <v>0.367</v>
      </c>
      <c r="H20" s="188" t="n">
        <v>0.217</v>
      </c>
      <c r="I20" s="188" t="n">
        <v>0.413</v>
      </c>
      <c r="J20" s="188" t="n">
        <v>0.216</v>
      </c>
      <c r="K20" s="188" t="n">
        <v>0.39</v>
      </c>
      <c r="L20" s="188" t="n">
        <v>0.217</v>
      </c>
      <c r="M20" s="188" t="n">
        <v>0.384</v>
      </c>
      <c r="N20" s="189" t="n">
        <v>0.341</v>
      </c>
    </row>
    <row r="21" ht="19.95" customHeight="1" s="1">
      <c r="A21" s="190" t="inlineStr">
        <is>
          <t xml:space="preserve">  OPERATING EXPENSES — PERSONNEL COSTS</t>
        </is>
      </c>
    </row>
    <row r="22">
      <c r="A22" s="191" t="inlineStr">
        <is>
          <t>CEO / Managing Director</t>
        </is>
      </c>
      <c r="B22" s="192" t="n">
        <v>8000</v>
      </c>
      <c r="C22" s="192" t="n">
        <v>8000</v>
      </c>
      <c r="D22" s="192" t="n">
        <v>8000</v>
      </c>
      <c r="E22" s="192" t="n">
        <v>8000</v>
      </c>
      <c r="F22" s="192" t="n">
        <v>8000</v>
      </c>
      <c r="G22" s="192" t="n">
        <v>8000</v>
      </c>
      <c r="H22" s="192" t="n">
        <v>8000</v>
      </c>
      <c r="I22" s="192" t="n">
        <v>8000</v>
      </c>
      <c r="J22" s="192" t="n">
        <v>8000</v>
      </c>
      <c r="K22" s="192" t="n">
        <v>8000</v>
      </c>
      <c r="L22" s="192" t="n">
        <v>8000</v>
      </c>
      <c r="M22" s="192" t="n">
        <v>8000</v>
      </c>
      <c r="N22" s="192">
        <f>SUM(B22:M22)</f>
        <v/>
      </c>
    </row>
    <row r="23">
      <c r="A23" s="191" t="inlineStr">
        <is>
          <t>CFO</t>
        </is>
      </c>
      <c r="B23" s="192" t="n">
        <v>4000</v>
      </c>
      <c r="C23" s="192" t="n">
        <v>4000</v>
      </c>
      <c r="D23" s="192" t="n">
        <v>4000</v>
      </c>
      <c r="E23" s="192" t="n">
        <v>4000</v>
      </c>
      <c r="F23" s="192" t="n">
        <v>4000</v>
      </c>
      <c r="G23" s="192" t="n">
        <v>4000</v>
      </c>
      <c r="H23" s="192" t="n">
        <v>4000</v>
      </c>
      <c r="I23" s="192" t="n">
        <v>4000</v>
      </c>
      <c r="J23" s="192" t="n">
        <v>4000</v>
      </c>
      <c r="K23" s="192" t="n">
        <v>4000</v>
      </c>
      <c r="L23" s="192" t="n">
        <v>4000</v>
      </c>
      <c r="M23" s="192" t="n">
        <v>4000</v>
      </c>
      <c r="N23" s="192">
        <f>SUM(B23:M23)</f>
        <v/>
      </c>
    </row>
    <row r="24">
      <c r="A24" s="191" t="inlineStr">
        <is>
          <t>COO</t>
        </is>
      </c>
      <c r="B24" s="192" t="n">
        <v>4000</v>
      </c>
      <c r="C24" s="192" t="n">
        <v>4000</v>
      </c>
      <c r="D24" s="192" t="n">
        <v>4000</v>
      </c>
      <c r="E24" s="192" t="n">
        <v>4000</v>
      </c>
      <c r="F24" s="192" t="n">
        <v>4000</v>
      </c>
      <c r="G24" s="192" t="n">
        <v>4000</v>
      </c>
      <c r="H24" s="192" t="n">
        <v>4000</v>
      </c>
      <c r="I24" s="192" t="n">
        <v>4000</v>
      </c>
      <c r="J24" s="192" t="n">
        <v>4000</v>
      </c>
      <c r="K24" s="192" t="n">
        <v>4000</v>
      </c>
      <c r="L24" s="192" t="n">
        <v>4000</v>
      </c>
      <c r="M24" s="192" t="n">
        <v>4000</v>
      </c>
      <c r="N24" s="192">
        <f>SUM(B24:M24)</f>
        <v/>
      </c>
    </row>
    <row r="25">
      <c r="A25" s="191" t="inlineStr">
        <is>
          <t>Director of Marketing</t>
        </is>
      </c>
      <c r="B25" s="193" t="n"/>
      <c r="C25" s="193" t="n"/>
      <c r="D25" s="192" t="n">
        <v>1500</v>
      </c>
      <c r="E25" s="192" t="n">
        <v>1500</v>
      </c>
      <c r="F25" s="192" t="n">
        <v>1500</v>
      </c>
      <c r="G25" s="192" t="n">
        <v>1500</v>
      </c>
      <c r="H25" s="192" t="n">
        <v>1500</v>
      </c>
      <c r="I25" s="192" t="n">
        <v>1500</v>
      </c>
      <c r="J25" s="192" t="n">
        <v>1500</v>
      </c>
      <c r="K25" s="192" t="n">
        <v>1500</v>
      </c>
      <c r="L25" s="192" t="n">
        <v>1500</v>
      </c>
      <c r="M25" s="192" t="n">
        <v>1500</v>
      </c>
      <c r="N25" s="192">
        <f>SUM(B25:M25)</f>
        <v/>
      </c>
    </row>
    <row r="26">
      <c r="A26" s="191" t="inlineStr">
        <is>
          <t>HR Manager</t>
        </is>
      </c>
      <c r="B26" s="193" t="n"/>
      <c r="C26" s="193" t="n"/>
      <c r="D26" s="192" t="n">
        <v>1000</v>
      </c>
      <c r="E26" s="192" t="n">
        <v>1000</v>
      </c>
      <c r="F26" s="192" t="n">
        <v>1000</v>
      </c>
      <c r="G26" s="192" t="n">
        <v>1000</v>
      </c>
      <c r="H26" s="192" t="n">
        <v>1000</v>
      </c>
      <c r="I26" s="192" t="n">
        <v>1000</v>
      </c>
      <c r="J26" s="192" t="n">
        <v>1000</v>
      </c>
      <c r="K26" s="192" t="n">
        <v>1000</v>
      </c>
      <c r="L26" s="192" t="n">
        <v>1000</v>
      </c>
      <c r="M26" s="192" t="n">
        <v>1000</v>
      </c>
      <c r="N26" s="192">
        <f>SUM(B26:M26)</f>
        <v/>
      </c>
    </row>
    <row r="27">
      <c r="A27" s="191" t="inlineStr">
        <is>
          <t>Director of Sales</t>
        </is>
      </c>
      <c r="B27" s="194" t="n"/>
      <c r="C27" s="192" t="n">
        <v>3000</v>
      </c>
      <c r="D27" s="192" t="n">
        <v>3000</v>
      </c>
      <c r="E27" s="192" t="n">
        <v>3000</v>
      </c>
      <c r="F27" s="192" t="n">
        <v>3000</v>
      </c>
      <c r="G27" s="192" t="n">
        <v>3000</v>
      </c>
      <c r="H27" s="192" t="n">
        <v>3000</v>
      </c>
      <c r="I27" s="192" t="n">
        <v>3000</v>
      </c>
      <c r="J27" s="192" t="n">
        <v>3000</v>
      </c>
      <c r="K27" s="192" t="n">
        <v>3000</v>
      </c>
      <c r="L27" s="192" t="n">
        <v>3000</v>
      </c>
      <c r="M27" s="192" t="n">
        <v>3000</v>
      </c>
      <c r="N27" s="192">
        <f>SUM(B27:M27)</f>
        <v/>
      </c>
    </row>
    <row r="28">
      <c r="A28" s="191" t="inlineStr">
        <is>
          <t>Warehouse Manager</t>
        </is>
      </c>
      <c r="B28" s="192" t="n">
        <v>1200</v>
      </c>
      <c r="C28" s="192" t="n">
        <v>1200</v>
      </c>
      <c r="D28" s="192" t="n">
        <v>1200</v>
      </c>
      <c r="E28" s="192" t="n">
        <v>1200</v>
      </c>
      <c r="F28" s="192" t="n">
        <v>1200</v>
      </c>
      <c r="G28" s="192" t="n">
        <v>1200</v>
      </c>
      <c r="H28" s="192" t="n">
        <v>1200</v>
      </c>
      <c r="I28" s="192" t="n">
        <v>1200</v>
      </c>
      <c r="J28" s="192" t="n">
        <v>1200</v>
      </c>
      <c r="K28" s="192" t="n">
        <v>1200</v>
      </c>
      <c r="L28" s="192" t="n">
        <v>1200</v>
      </c>
      <c r="M28" s="192" t="n">
        <v>1200</v>
      </c>
      <c r="N28" s="192">
        <f>SUM(B28:M28)</f>
        <v/>
      </c>
    </row>
    <row r="29">
      <c r="A29" s="191" t="inlineStr">
        <is>
          <t>Accountant #1</t>
        </is>
      </c>
      <c r="B29" s="194" t="n"/>
      <c r="C29" s="192" t="n">
        <v>800</v>
      </c>
      <c r="D29" s="192" t="n">
        <v>800</v>
      </c>
      <c r="E29" s="192" t="n">
        <v>800</v>
      </c>
      <c r="F29" s="192" t="n">
        <v>800</v>
      </c>
      <c r="G29" s="192" t="n">
        <v>800</v>
      </c>
      <c r="H29" s="192" t="n">
        <v>800</v>
      </c>
      <c r="I29" s="192" t="n">
        <v>800</v>
      </c>
      <c r="J29" s="192" t="n">
        <v>800</v>
      </c>
      <c r="K29" s="192" t="n">
        <v>800</v>
      </c>
      <c r="L29" s="192" t="n">
        <v>800</v>
      </c>
      <c r="M29" s="192" t="n">
        <v>800</v>
      </c>
      <c r="N29" s="192">
        <f>SUM(B29:M29)</f>
        <v/>
      </c>
    </row>
    <row r="30">
      <c r="A30" s="191" t="inlineStr">
        <is>
          <t>Accountant #2</t>
        </is>
      </c>
      <c r="B30" s="193" t="n"/>
      <c r="C30" s="193" t="n"/>
      <c r="D30" s="193" t="n"/>
      <c r="E30" s="193" t="n"/>
      <c r="F30" s="193" t="n"/>
      <c r="G30" s="193" t="n"/>
      <c r="H30" s="193" t="n"/>
      <c r="I30" s="192" t="n">
        <v>800</v>
      </c>
      <c r="J30" s="192" t="n">
        <v>800</v>
      </c>
      <c r="K30" s="192" t="n">
        <v>800</v>
      </c>
      <c r="L30" s="192" t="n">
        <v>800</v>
      </c>
      <c r="M30" s="192" t="n">
        <v>800</v>
      </c>
      <c r="N30" s="192">
        <f>SUM(B30:M30)</f>
        <v/>
      </c>
    </row>
    <row r="31">
      <c r="A31" s="191" t="inlineStr">
        <is>
          <t>Showroom Manager #1</t>
        </is>
      </c>
      <c r="B31" s="195" t="n">
        <v>500</v>
      </c>
      <c r="C31" s="195" t="n">
        <v>500</v>
      </c>
      <c r="D31" s="195" t="n">
        <v>500</v>
      </c>
      <c r="E31" s="195" t="n">
        <v>500</v>
      </c>
      <c r="F31" s="195" t="n">
        <v>500</v>
      </c>
      <c r="G31" s="195" t="n">
        <v>500</v>
      </c>
      <c r="H31" s="195" t="n">
        <v>500</v>
      </c>
      <c r="I31" s="195" t="n">
        <v>500</v>
      </c>
      <c r="J31" s="195" t="n">
        <v>500</v>
      </c>
      <c r="K31" s="195" t="n">
        <v>500</v>
      </c>
      <c r="L31" s="195" t="n">
        <v>500</v>
      </c>
      <c r="M31" s="195" t="n">
        <v>500</v>
      </c>
      <c r="N31" s="192">
        <f>SUM(B31:M31)</f>
        <v/>
      </c>
    </row>
    <row r="32">
      <c r="A32" s="191" t="inlineStr">
        <is>
          <t>Showroom Manager #2</t>
        </is>
      </c>
      <c r="B32" s="193" t="n"/>
      <c r="C32" s="195" t="n">
        <v>800</v>
      </c>
      <c r="D32" s="195" t="n">
        <v>800</v>
      </c>
      <c r="E32" s="195" t="n">
        <v>800</v>
      </c>
      <c r="F32" s="195" t="n">
        <v>800</v>
      </c>
      <c r="G32" s="195" t="n">
        <v>800</v>
      </c>
      <c r="H32" s="195" t="n">
        <v>800</v>
      </c>
      <c r="I32" s="195" t="n">
        <v>800</v>
      </c>
      <c r="J32" s="195" t="n">
        <v>800</v>
      </c>
      <c r="K32" s="195" t="n">
        <v>800</v>
      </c>
      <c r="L32" s="195" t="n">
        <v>800</v>
      </c>
      <c r="M32" s="195" t="n">
        <v>800</v>
      </c>
      <c r="N32" s="192">
        <f>SUM(B32:M32)</f>
        <v/>
      </c>
    </row>
    <row r="33">
      <c r="A33" s="191" t="inlineStr">
        <is>
          <t>Sales Staff #1</t>
        </is>
      </c>
      <c r="B33" s="194" t="n"/>
      <c r="C33" s="194" t="n"/>
      <c r="D33" s="192" t="n">
        <v>600</v>
      </c>
      <c r="E33" s="192" t="n">
        <v>600</v>
      </c>
      <c r="F33" s="192" t="n">
        <v>600</v>
      </c>
      <c r="G33" s="192" t="n">
        <v>600</v>
      </c>
      <c r="H33" s="192" t="n">
        <v>600</v>
      </c>
      <c r="I33" s="192" t="n">
        <v>600</v>
      </c>
      <c r="J33" s="192" t="n">
        <v>600</v>
      </c>
      <c r="K33" s="192" t="n">
        <v>600</v>
      </c>
      <c r="L33" s="192" t="n">
        <v>600</v>
      </c>
      <c r="M33" s="192" t="n">
        <v>600</v>
      </c>
      <c r="N33" s="192">
        <f>SUM(B33:M33)</f>
        <v/>
      </c>
    </row>
    <row r="34">
      <c r="A34" s="191" t="inlineStr">
        <is>
          <t>Sales Staff #2</t>
        </is>
      </c>
      <c r="B34" s="193" t="n"/>
      <c r="C34" s="193" t="n"/>
      <c r="D34" s="193" t="n"/>
      <c r="E34" s="192" t="n">
        <v>600</v>
      </c>
      <c r="F34" s="192" t="n">
        <v>600</v>
      </c>
      <c r="G34" s="192" t="n">
        <v>600</v>
      </c>
      <c r="H34" s="192" t="n">
        <v>600</v>
      </c>
      <c r="I34" s="192" t="n">
        <v>600</v>
      </c>
      <c r="J34" s="192" t="n">
        <v>600</v>
      </c>
      <c r="K34" s="192" t="n">
        <v>600</v>
      </c>
      <c r="L34" s="192" t="n">
        <v>600</v>
      </c>
      <c r="M34" s="192" t="n">
        <v>600</v>
      </c>
      <c r="N34" s="192">
        <f>SUM(B34:M34)</f>
        <v/>
      </c>
    </row>
    <row r="35">
      <c r="A35" s="191" t="inlineStr">
        <is>
          <t>Sales Staff #3</t>
        </is>
      </c>
      <c r="B35" s="194" t="n"/>
      <c r="C35" s="194" t="n"/>
      <c r="D35" s="194" t="n"/>
      <c r="E35" s="194" t="n"/>
      <c r="F35" s="194" t="n"/>
      <c r="G35" s="192" t="n">
        <v>600</v>
      </c>
      <c r="H35" s="192" t="n">
        <v>600</v>
      </c>
      <c r="I35" s="192" t="n">
        <v>600</v>
      </c>
      <c r="J35" s="192" t="n">
        <v>600</v>
      </c>
      <c r="K35" s="192" t="n">
        <v>600</v>
      </c>
      <c r="L35" s="192" t="n">
        <v>600</v>
      </c>
      <c r="M35" s="192" t="n">
        <v>600</v>
      </c>
      <c r="N35" s="192">
        <f>SUM(B35:M35)</f>
        <v/>
      </c>
    </row>
    <row r="36">
      <c r="A36" s="191" t="inlineStr">
        <is>
          <t>Sales Staff #4</t>
        </is>
      </c>
      <c r="B36" s="193" t="n"/>
      <c r="C36" s="193" t="n"/>
      <c r="D36" s="193" t="n"/>
      <c r="E36" s="193" t="n"/>
      <c r="F36" s="193" t="n"/>
      <c r="G36" s="193" t="n"/>
      <c r="H36" s="193" t="n"/>
      <c r="I36" s="192" t="n">
        <v>600</v>
      </c>
      <c r="J36" s="192" t="n">
        <v>600</v>
      </c>
      <c r="K36" s="192" t="n">
        <v>600</v>
      </c>
      <c r="L36" s="192" t="n">
        <v>600</v>
      </c>
      <c r="M36" s="192" t="n">
        <v>600</v>
      </c>
      <c r="N36" s="192">
        <f>SUM(B36:M36)</f>
        <v/>
      </c>
    </row>
    <row r="37">
      <c r="A37" s="191" t="inlineStr">
        <is>
          <t>Driver #1</t>
        </is>
      </c>
      <c r="B37" s="192" t="n">
        <v>500</v>
      </c>
      <c r="C37" s="192" t="n">
        <v>500</v>
      </c>
      <c r="D37" s="192" t="n">
        <v>500</v>
      </c>
      <c r="E37" s="192" t="n">
        <v>500</v>
      </c>
      <c r="F37" s="192" t="n">
        <v>500</v>
      </c>
      <c r="G37" s="192" t="n">
        <v>500</v>
      </c>
      <c r="H37" s="192" t="n">
        <v>500</v>
      </c>
      <c r="I37" s="192" t="n">
        <v>500</v>
      </c>
      <c r="J37" s="192" t="n">
        <v>500</v>
      </c>
      <c r="K37" s="192" t="n">
        <v>500</v>
      </c>
      <c r="L37" s="192" t="n">
        <v>500</v>
      </c>
      <c r="M37" s="192" t="n">
        <v>500</v>
      </c>
      <c r="N37" s="192">
        <f>SUM(B37:M37)</f>
        <v/>
      </c>
    </row>
    <row r="38">
      <c r="A38" s="191" t="inlineStr">
        <is>
          <t>Driver #2</t>
        </is>
      </c>
      <c r="B38" s="193" t="n"/>
      <c r="C38" s="193" t="n"/>
      <c r="D38" s="193" t="n"/>
      <c r="E38" s="192" t="n">
        <v>500</v>
      </c>
      <c r="F38" s="192" t="n">
        <v>500</v>
      </c>
      <c r="G38" s="192" t="n">
        <v>500</v>
      </c>
      <c r="H38" s="192" t="n">
        <v>500</v>
      </c>
      <c r="I38" s="192" t="n">
        <v>500</v>
      </c>
      <c r="J38" s="192" t="n">
        <v>500</v>
      </c>
      <c r="K38" s="192" t="n">
        <v>500</v>
      </c>
      <c r="L38" s="192" t="n">
        <v>500</v>
      </c>
      <c r="M38" s="192" t="n">
        <v>500</v>
      </c>
      <c r="N38" s="192">
        <f>SUM(B38:M38)</f>
        <v/>
      </c>
    </row>
    <row r="39">
      <c r="A39" s="191" t="inlineStr">
        <is>
          <t>Administrative Asst #1</t>
        </is>
      </c>
      <c r="B39" s="192" t="n">
        <v>600</v>
      </c>
      <c r="C39" s="192" t="n">
        <v>600</v>
      </c>
      <c r="D39" s="192" t="n">
        <v>600</v>
      </c>
      <c r="E39" s="192" t="n">
        <v>600</v>
      </c>
      <c r="F39" s="192" t="n">
        <v>600</v>
      </c>
      <c r="G39" s="192" t="n">
        <v>600</v>
      </c>
      <c r="H39" s="192" t="n">
        <v>600</v>
      </c>
      <c r="I39" s="192" t="n">
        <v>600</v>
      </c>
      <c r="J39" s="192" t="n">
        <v>600</v>
      </c>
      <c r="K39" s="192" t="n">
        <v>600</v>
      </c>
      <c r="L39" s="192" t="n">
        <v>600</v>
      </c>
      <c r="M39" s="192" t="n">
        <v>600</v>
      </c>
      <c r="N39" s="192">
        <f>SUM(B39:M39)</f>
        <v/>
      </c>
    </row>
    <row r="40">
      <c r="A40" s="191" t="inlineStr">
        <is>
          <t>Administrative Asst #2</t>
        </is>
      </c>
      <c r="B40" s="193" t="n"/>
      <c r="C40" s="193" t="n"/>
      <c r="D40" s="193" t="n"/>
      <c r="E40" s="193" t="n"/>
      <c r="F40" s="193" t="n"/>
      <c r="G40" s="192" t="n">
        <v>600</v>
      </c>
      <c r="H40" s="192" t="n">
        <v>600</v>
      </c>
      <c r="I40" s="192" t="n">
        <v>600</v>
      </c>
      <c r="J40" s="192" t="n">
        <v>600</v>
      </c>
      <c r="K40" s="192" t="n">
        <v>600</v>
      </c>
      <c r="L40" s="192" t="n">
        <v>600</v>
      </c>
      <c r="M40" s="192" t="n">
        <v>600</v>
      </c>
      <c r="N40" s="192">
        <f>SUM(B40:M40)</f>
        <v/>
      </c>
    </row>
    <row r="41">
      <c r="A41" s="191" t="inlineStr">
        <is>
          <t>Warehouse Staff #1</t>
        </is>
      </c>
      <c r="B41" s="194" t="n"/>
      <c r="C41" s="194" t="n"/>
      <c r="D41" s="194" t="n"/>
      <c r="E41" s="192" t="n">
        <v>600</v>
      </c>
      <c r="F41" s="192" t="n">
        <v>600</v>
      </c>
      <c r="G41" s="192" t="n">
        <v>600</v>
      </c>
      <c r="H41" s="192" t="n">
        <v>600</v>
      </c>
      <c r="I41" s="192" t="n">
        <v>600</v>
      </c>
      <c r="J41" s="192" t="n">
        <v>600</v>
      </c>
      <c r="K41" s="192" t="n">
        <v>600</v>
      </c>
      <c r="L41" s="192" t="n">
        <v>600</v>
      </c>
      <c r="M41" s="192" t="n">
        <v>600</v>
      </c>
      <c r="N41" s="192">
        <f>SUM(B41:M41)</f>
        <v/>
      </c>
    </row>
    <row r="42">
      <c r="A42" s="191" t="inlineStr">
        <is>
          <t>Warehouse Staff #2</t>
        </is>
      </c>
      <c r="B42" s="193" t="n"/>
      <c r="C42" s="193" t="n"/>
      <c r="D42" s="194" t="n"/>
      <c r="E42" s="193" t="n"/>
      <c r="F42" s="193" t="n"/>
      <c r="G42" s="193" t="n"/>
      <c r="H42" s="193" t="n"/>
      <c r="I42" s="192" t="n">
        <v>600</v>
      </c>
      <c r="J42" s="192" t="n">
        <v>600</v>
      </c>
      <c r="K42" s="192" t="n">
        <v>600</v>
      </c>
      <c r="L42" s="192" t="n">
        <v>600</v>
      </c>
      <c r="M42" s="192" t="n">
        <v>600</v>
      </c>
      <c r="N42" s="192">
        <f>SUM(B42:M42)</f>
        <v/>
      </c>
    </row>
    <row r="43" ht="18" customHeight="1" s="1">
      <c r="A43" s="179" t="inlineStr">
        <is>
          <t>Total Base Salaries</t>
        </is>
      </c>
      <c r="B43" s="180">
        <f>SUM(B22:B42)</f>
        <v/>
      </c>
      <c r="C43" s="180">
        <f>SUM(C22:C42)</f>
        <v/>
      </c>
      <c r="D43" s="180">
        <f>SUM(D22:D42)</f>
        <v/>
      </c>
      <c r="E43" s="180">
        <f>SUM(E22:E42)</f>
        <v/>
      </c>
      <c r="F43" s="180">
        <f>SUM(F22:F42)</f>
        <v/>
      </c>
      <c r="G43" s="180">
        <f>SUM(G22:G42)</f>
        <v/>
      </c>
      <c r="H43" s="180">
        <f>SUM(H22:H42)</f>
        <v/>
      </c>
      <c r="I43" s="180">
        <f>SUM(I22:I42)</f>
        <v/>
      </c>
      <c r="J43" s="180">
        <f>SUM(J22:J42)</f>
        <v/>
      </c>
      <c r="K43" s="180">
        <f>SUM(K22:K42)</f>
        <v/>
      </c>
      <c r="L43" s="180">
        <f>SUM(L22:L42)</f>
        <v/>
      </c>
      <c r="M43" s="180">
        <f>SUM(M22:M42)</f>
        <v/>
      </c>
      <c r="N43" s="180">
        <f>SUM(B43:M43)</f>
        <v/>
      </c>
    </row>
    <row r="44">
      <c r="A44" s="196" t="inlineStr">
        <is>
          <t>Social Insurance &amp; Benefits (15%)</t>
        </is>
      </c>
      <c r="B44" s="182">
        <f>B43*15%</f>
        <v/>
      </c>
      <c r="C44" s="182">
        <f>C43*15%</f>
        <v/>
      </c>
      <c r="D44" s="182">
        <f>D43*15%</f>
        <v/>
      </c>
      <c r="E44" s="182">
        <f>E43*15%</f>
        <v/>
      </c>
      <c r="F44" s="182">
        <f>F43*15%</f>
        <v/>
      </c>
      <c r="G44" s="182">
        <f>G43*15%</f>
        <v/>
      </c>
      <c r="H44" s="182">
        <f>H43*15%</f>
        <v/>
      </c>
      <c r="I44" s="182">
        <f>I43*15%</f>
        <v/>
      </c>
      <c r="J44" s="182">
        <f>J43*15%</f>
        <v/>
      </c>
      <c r="K44" s="182">
        <f>K43*15%</f>
        <v/>
      </c>
      <c r="L44" s="182">
        <f>L43*15%</f>
        <v/>
      </c>
      <c r="M44" s="182">
        <f>M43*15%</f>
        <v/>
      </c>
      <c r="N44" s="182">
        <f>SUM(B44:M44)</f>
        <v/>
      </c>
    </row>
    <row r="45" ht="18" customHeight="1" s="1">
      <c r="A45" s="179" t="inlineStr">
        <is>
          <t>TOTAL PERSONNEL COSTS (base + benefits)</t>
        </is>
      </c>
      <c r="B45" s="180">
        <f>SUM(B43:B44)</f>
        <v/>
      </c>
      <c r="C45" s="180">
        <f>SUM(C43:C44)</f>
        <v/>
      </c>
      <c r="D45" s="180">
        <f>SUM(D43:D44)</f>
        <v/>
      </c>
      <c r="E45" s="180">
        <f>SUM(E43:E44)</f>
        <v/>
      </c>
      <c r="F45" s="180">
        <f>SUM(F43:F44)</f>
        <v/>
      </c>
      <c r="G45" s="180">
        <f>SUM(G43:G44)</f>
        <v/>
      </c>
      <c r="H45" s="180">
        <f>SUM(H43:H44)</f>
        <v/>
      </c>
      <c r="I45" s="180">
        <f>SUM(I43:I44)</f>
        <v/>
      </c>
      <c r="J45" s="180">
        <f>SUM(J43:J44)</f>
        <v/>
      </c>
      <c r="K45" s="180">
        <f>SUM(K43:K44)</f>
        <v/>
      </c>
      <c r="L45" s="180">
        <f>SUM(L43:L44)</f>
        <v/>
      </c>
      <c r="M45" s="180">
        <f>SUM(M43:M44)</f>
        <v/>
      </c>
      <c r="N45" s="180">
        <f>SUM(N43:N44)</f>
        <v/>
      </c>
      <c r="O45" s="178" t="n"/>
    </row>
    <row r="46">
      <c r="A46" s="197" t="inlineStr">
        <is>
          <t>Sales Commissions (4% Vestwoods + 3% Al Reem, Egypt sales)</t>
        </is>
      </c>
      <c r="B46" s="198" t="n">
        <v>800</v>
      </c>
      <c r="C46" s="198" t="n">
        <v>2200</v>
      </c>
      <c r="D46" s="198" t="n">
        <v>5679.3</v>
      </c>
      <c r="E46" s="198" t="n">
        <v>9200</v>
      </c>
      <c r="F46" s="198" t="n">
        <v>10300</v>
      </c>
      <c r="G46" s="198" t="n">
        <v>10700</v>
      </c>
      <c r="H46" s="198" t="n">
        <v>10300</v>
      </c>
      <c r="I46" s="198" t="n">
        <v>10906.5</v>
      </c>
      <c r="J46" s="198" t="n">
        <v>12300</v>
      </c>
      <c r="K46" s="198" t="n">
        <v>14100</v>
      </c>
      <c r="L46" s="198" t="n">
        <v>16400</v>
      </c>
      <c r="M46" s="198" t="n">
        <v>18400</v>
      </c>
      <c r="N46" s="198">
        <f>SUM(B46:M46)</f>
        <v/>
      </c>
    </row>
    <row r="47" ht="18" customHeight="1" s="1">
      <c r="A47" s="179" t="inlineStr">
        <is>
          <t>TOTAL PERSONNEL INCL. COMMISSIONS</t>
        </is>
      </c>
      <c r="B47" s="180" t="n">
        <v>22420</v>
      </c>
      <c r="C47" s="180" t="n">
        <v>29110</v>
      </c>
      <c r="D47" s="180" t="n">
        <v>36154.3</v>
      </c>
      <c r="E47" s="180" t="n">
        <v>41630</v>
      </c>
      <c r="F47" s="180" t="n">
        <v>42730</v>
      </c>
      <c r="G47" s="180" t="n">
        <v>44510</v>
      </c>
      <c r="H47" s="180" t="n">
        <v>44110</v>
      </c>
      <c r="I47" s="180" t="n">
        <v>47016.5</v>
      </c>
      <c r="J47" s="180" t="n">
        <v>48410</v>
      </c>
      <c r="K47" s="180" t="n">
        <v>50210</v>
      </c>
      <c r="L47" s="180" t="n">
        <v>52510</v>
      </c>
      <c r="M47" s="180" t="n">
        <v>54510</v>
      </c>
      <c r="N47" s="180">
        <f>SUM(B47:M47)</f>
        <v/>
      </c>
      <c r="O47" s="178" t="n"/>
    </row>
    <row r="48" ht="19.95" customHeight="1" s="1">
      <c r="A48" s="190" t="inlineStr">
        <is>
          <t xml:space="preserve">  OPERATING EXPENSES — FACILITIES</t>
        </is>
      </c>
    </row>
    <row r="49" ht="26.4" customFormat="1" customHeight="1" s="201">
      <c r="A49" s="261" t="inlineStr">
        <is>
          <t>Showroom Rent — 6th October City (EGP 10,000/mo = USD 200) [EXISTING]</t>
        </is>
      </c>
      <c r="B49" s="200" t="n">
        <v>200</v>
      </c>
      <c r="C49" s="200" t="n">
        <v>200</v>
      </c>
      <c r="D49" s="200" t="n">
        <v>200</v>
      </c>
      <c r="E49" s="200" t="n">
        <v>200</v>
      </c>
      <c r="F49" s="200" t="n">
        <v>200</v>
      </c>
      <c r="G49" s="200" t="n">
        <v>200</v>
      </c>
      <c r="H49" s="200" t="n">
        <v>200</v>
      </c>
      <c r="I49" s="200" t="n">
        <v>200</v>
      </c>
      <c r="J49" s="200" t="n">
        <v>200</v>
      </c>
      <c r="K49" s="200" t="n">
        <v>200</v>
      </c>
      <c r="L49" s="200" t="n">
        <v>200</v>
      </c>
      <c r="M49" s="200" t="n">
        <v>200</v>
      </c>
      <c r="N49" s="200">
        <f>SUM(B49:M49)</f>
        <v/>
      </c>
    </row>
    <row r="50" ht="39.6" customFormat="1" customHeight="1" s="201">
      <c r="A50" s="261" t="inlineStr">
        <is>
          <t>Showroom Rent — New Cairo / Fifth Settlement (~50 sqm, USD 2,500/mo) [NEW — post-investment]</t>
        </is>
      </c>
      <c r="B50" s="200" t="n">
        <v>2500</v>
      </c>
      <c r="C50" s="200" t="n">
        <v>2500</v>
      </c>
      <c r="D50" s="200" t="n">
        <v>2500</v>
      </c>
      <c r="E50" s="200" t="n">
        <v>2500</v>
      </c>
      <c r="F50" s="200" t="n">
        <v>2500</v>
      </c>
      <c r="G50" s="200" t="n">
        <v>2500</v>
      </c>
      <c r="H50" s="200" t="n">
        <v>2500</v>
      </c>
      <c r="I50" s="200" t="n">
        <v>2500</v>
      </c>
      <c r="J50" s="200" t="n">
        <v>2500</v>
      </c>
      <c r="K50" s="200" t="n">
        <v>2500</v>
      </c>
      <c r="L50" s="200" t="n">
        <v>2500</v>
      </c>
      <c r="M50" s="200" t="n">
        <v>2500</v>
      </c>
      <c r="N50" s="200">
        <f>SUM(B50:M50)</f>
        <v/>
      </c>
    </row>
    <row r="51" customFormat="1" s="201">
      <c r="A51" s="261" t="inlineStr">
        <is>
          <t>Office Rent — Fifth Settlement (100 sqm)</t>
        </is>
      </c>
      <c r="B51" s="200" t="n">
        <v>6000</v>
      </c>
      <c r="C51" s="200" t="n">
        <v>3000</v>
      </c>
      <c r="D51" s="200" t="n">
        <v>3000</v>
      </c>
      <c r="E51" s="200" t="n">
        <v>3000</v>
      </c>
      <c r="F51" s="200" t="n">
        <v>3000</v>
      </c>
      <c r="G51" s="200" t="n">
        <v>3000</v>
      </c>
      <c r="H51" s="200" t="n">
        <v>3000</v>
      </c>
      <c r="I51" s="200" t="n">
        <v>3000</v>
      </c>
      <c r="J51" s="200" t="n">
        <v>3000</v>
      </c>
      <c r="K51" s="200" t="n">
        <v>3000</v>
      </c>
      <c r="L51" s="200" t="n">
        <v>3000</v>
      </c>
      <c r="M51" s="200" t="n">
        <v>3000</v>
      </c>
      <c r="N51" s="200">
        <f>SUM(B51:M51)</f>
        <v/>
      </c>
    </row>
    <row r="52" ht="26.4" customFormat="1" customHeight="1" s="201">
      <c r="A52" s="261" t="inlineStr">
        <is>
          <t>Warehouse Rent — 6th October City (~400 sqm)</t>
        </is>
      </c>
      <c r="B52" s="200" t="n">
        <v>3000</v>
      </c>
      <c r="C52" s="200" t="n">
        <v>3000</v>
      </c>
      <c r="D52" s="200" t="n">
        <v>3000</v>
      </c>
      <c r="E52" s="200" t="n">
        <v>3000</v>
      </c>
      <c r="F52" s="200" t="n">
        <v>3000</v>
      </c>
      <c r="G52" s="200" t="n">
        <v>3000</v>
      </c>
      <c r="H52" s="200" t="n">
        <v>3000</v>
      </c>
      <c r="I52" s="200" t="n">
        <v>3000</v>
      </c>
      <c r="J52" s="200" t="n">
        <v>3000</v>
      </c>
      <c r="K52" s="200" t="n">
        <v>3000</v>
      </c>
      <c r="L52" s="200" t="n">
        <v>3000</v>
      </c>
      <c r="M52" s="200" t="n">
        <v>3000</v>
      </c>
      <c r="N52" s="200">
        <f>SUM(B52:M52)</f>
        <v/>
      </c>
    </row>
    <row r="53" customFormat="1" s="201">
      <c r="A53" s="261" t="inlineStr">
        <is>
          <t>Utilities (Electricity, Water, Internet)</t>
        </is>
      </c>
      <c r="B53" s="200" t="n">
        <v>400</v>
      </c>
      <c r="C53" s="200" t="n">
        <v>400</v>
      </c>
      <c r="D53" s="200" t="n">
        <v>700</v>
      </c>
      <c r="E53" s="200" t="n">
        <v>700</v>
      </c>
      <c r="F53" s="200" t="n">
        <v>700</v>
      </c>
      <c r="G53" s="200" t="n">
        <v>700</v>
      </c>
      <c r="H53" s="200" t="n">
        <v>700</v>
      </c>
      <c r="I53" s="200" t="n">
        <v>700</v>
      </c>
      <c r="J53" s="200" t="n">
        <v>700</v>
      </c>
      <c r="K53" s="200" t="n">
        <v>700</v>
      </c>
      <c r="L53" s="200" t="n">
        <v>700</v>
      </c>
      <c r="M53" s="200" t="n">
        <v>700</v>
      </c>
      <c r="N53" s="200">
        <f>SUM(B53:M53)</f>
        <v/>
      </c>
    </row>
    <row r="54" ht="18" customHeight="1" s="1">
      <c r="A54" s="179" t="inlineStr">
        <is>
          <t>TOTAL FACILITIES</t>
        </is>
      </c>
      <c r="B54" s="180">
        <f>SUM(B49:B53)</f>
        <v/>
      </c>
      <c r="C54" s="180">
        <f>SUM(C49:C53)</f>
        <v/>
      </c>
      <c r="D54" s="180">
        <f>SUM(D49:D53)</f>
        <v/>
      </c>
      <c r="E54" s="180">
        <f>SUM(E49:E53)</f>
        <v/>
      </c>
      <c r="F54" s="180">
        <f>SUM(F49:F53)</f>
        <v/>
      </c>
      <c r="G54" s="180">
        <f>SUM(G49:G53)</f>
        <v/>
      </c>
      <c r="H54" s="180">
        <f>SUM(H49:H53)</f>
        <v/>
      </c>
      <c r="I54" s="180">
        <f>SUM(I49:I53)</f>
        <v/>
      </c>
      <c r="J54" s="180">
        <f>SUM(J49:J53)</f>
        <v/>
      </c>
      <c r="K54" s="180">
        <f>SUM(K49:K53)</f>
        <v/>
      </c>
      <c r="L54" s="180">
        <f>SUM(L49:L53)</f>
        <v/>
      </c>
      <c r="M54" s="180">
        <f>SUM(M49:M53)</f>
        <v/>
      </c>
      <c r="N54" s="180">
        <f>SUM(N49:N53)</f>
        <v/>
      </c>
    </row>
    <row r="55" ht="19.95" customHeight="1" s="1">
      <c r="A55" s="190" t="inlineStr">
        <is>
          <t xml:space="preserve">  OPERATING EXPENSES — OPERATIONS</t>
        </is>
      </c>
    </row>
    <row r="56">
      <c r="A56" s="202" t="inlineStr">
        <is>
          <t>Vehicle &amp; Fuel Costs (2 trucks)</t>
        </is>
      </c>
      <c r="B56" s="182" t="n">
        <v>800</v>
      </c>
      <c r="C56" s="182" t="n">
        <v>800</v>
      </c>
      <c r="D56" s="182" t="n">
        <v>800</v>
      </c>
      <c r="E56" s="182" t="n">
        <v>1500</v>
      </c>
      <c r="F56" s="182" t="n">
        <v>1500</v>
      </c>
      <c r="G56" s="182" t="n">
        <v>1500</v>
      </c>
      <c r="H56" s="182" t="n">
        <v>1500</v>
      </c>
      <c r="I56" s="182" t="n">
        <v>1500</v>
      </c>
      <c r="J56" s="182" t="n">
        <v>1500</v>
      </c>
      <c r="K56" s="182" t="n">
        <v>1500</v>
      </c>
      <c r="L56" s="182" t="n">
        <v>1500</v>
      </c>
      <c r="M56" s="182" t="n">
        <v>1500</v>
      </c>
      <c r="N56" s="182">
        <f>SUM(B56:M56)</f>
        <v/>
      </c>
    </row>
    <row r="57" ht="18" customHeight="1" s="1">
      <c r="A57" s="179" t="inlineStr">
        <is>
          <t>TOTAL OPERATIONS</t>
        </is>
      </c>
      <c r="B57" s="180">
        <f>SUM(B56)</f>
        <v/>
      </c>
      <c r="C57" s="180">
        <f>SUM(C56)</f>
        <v/>
      </c>
      <c r="D57" s="180">
        <f>SUM(D56)</f>
        <v/>
      </c>
      <c r="E57" s="180">
        <f>SUM(E56)</f>
        <v/>
      </c>
      <c r="F57" s="180">
        <f>SUM(F56)</f>
        <v/>
      </c>
      <c r="G57" s="180">
        <f>SUM(G56)</f>
        <v/>
      </c>
      <c r="H57" s="180">
        <f>SUM(H56)</f>
        <v/>
      </c>
      <c r="I57" s="180">
        <f>SUM(I56)</f>
        <v/>
      </c>
      <c r="J57" s="180">
        <f>SUM(J56)</f>
        <v/>
      </c>
      <c r="K57" s="180">
        <f>SUM(K56)</f>
        <v/>
      </c>
      <c r="L57" s="180">
        <f>SUM(L56)</f>
        <v/>
      </c>
      <c r="M57" s="180">
        <f>SUM(M56)</f>
        <v/>
      </c>
      <c r="N57" s="180">
        <f>SUM(B57:M57)</f>
        <v/>
      </c>
    </row>
    <row r="58" ht="19.95" customHeight="1" s="1">
      <c r="A58" s="190" t="inlineStr">
        <is>
          <t xml:space="preserve">  OPERATING EXPENSES — MARKETING &amp; PROMOTIONS</t>
        </is>
      </c>
    </row>
    <row r="59" ht="26.4" customHeight="1" s="1">
      <c r="A59" s="203" t="inlineStr">
        <is>
          <t>Advertising &amp; Digital Marketing (M3 Exhibition)</t>
        </is>
      </c>
      <c r="B59" s="182" t="n">
        <v>5000</v>
      </c>
      <c r="C59" s="182" t="n">
        <v>5000</v>
      </c>
      <c r="D59" s="182" t="n">
        <v>11000</v>
      </c>
      <c r="E59" s="182" t="n">
        <v>4000</v>
      </c>
      <c r="F59" s="182" t="n">
        <v>3500</v>
      </c>
      <c r="G59" s="182" t="n">
        <v>3000</v>
      </c>
      <c r="H59" s="182" t="n">
        <v>3000</v>
      </c>
      <c r="I59" s="182" t="n">
        <v>3000</v>
      </c>
      <c r="J59" s="182" t="n">
        <v>2500</v>
      </c>
      <c r="K59" s="182" t="n">
        <v>2500</v>
      </c>
      <c r="L59" s="182" t="n">
        <v>2500</v>
      </c>
      <c r="M59" s="182" t="n">
        <v>2500</v>
      </c>
      <c r="N59" s="182">
        <f>SUM(B59:M59)</f>
        <v/>
      </c>
    </row>
    <row r="60">
      <c r="A60" s="202" t="inlineStr">
        <is>
          <t>Printing &amp; Brochures</t>
        </is>
      </c>
      <c r="B60" s="182" t="n">
        <v>1000</v>
      </c>
      <c r="C60" s="182" t="n">
        <v>300</v>
      </c>
      <c r="D60" s="182" t="n">
        <v>300</v>
      </c>
      <c r="E60" s="182" t="n">
        <v>300</v>
      </c>
      <c r="F60" s="182" t="n">
        <v>300</v>
      </c>
      <c r="G60" s="182" t="n">
        <v>300</v>
      </c>
      <c r="H60" s="182" t="n">
        <v>300</v>
      </c>
      <c r="I60" s="182" t="n">
        <v>300</v>
      </c>
      <c r="J60" s="182" t="n">
        <v>300</v>
      </c>
      <c r="K60" s="182" t="n">
        <v>300</v>
      </c>
      <c r="L60" s="182" t="n">
        <v>300</v>
      </c>
      <c r="M60" s="182" t="n">
        <v>300</v>
      </c>
      <c r="N60" s="182">
        <f>SUM(B60:M60)</f>
        <v/>
      </c>
    </row>
    <row r="61">
      <c r="A61" s="202" t="inlineStr">
        <is>
          <t>Giveaways &amp; Product Samples</t>
        </is>
      </c>
      <c r="B61" s="182" t="n">
        <v>1000</v>
      </c>
      <c r="C61" s="182" t="n">
        <v>1000</v>
      </c>
      <c r="D61" s="182" t="n">
        <v>700</v>
      </c>
      <c r="E61" s="182" t="n">
        <v>700</v>
      </c>
      <c r="F61" s="182" t="n">
        <v>600</v>
      </c>
      <c r="G61" s="182" t="n">
        <v>600</v>
      </c>
      <c r="H61" s="182" t="n">
        <v>600</v>
      </c>
      <c r="I61" s="182" t="n">
        <v>600</v>
      </c>
      <c r="J61" s="182" t="n">
        <v>500</v>
      </c>
      <c r="K61" s="182" t="n">
        <v>500</v>
      </c>
      <c r="L61" s="182" t="n">
        <v>500</v>
      </c>
      <c r="M61" s="182" t="n">
        <v>500</v>
      </c>
      <c r="N61" s="182">
        <f>SUM(B61:M61)</f>
        <v/>
      </c>
    </row>
    <row r="62" ht="18" customHeight="1" s="1">
      <c r="A62" s="179" t="inlineStr">
        <is>
          <t>TOTAL MARKETING</t>
        </is>
      </c>
      <c r="B62" s="180">
        <f>SUM(B59:B61)</f>
        <v/>
      </c>
      <c r="C62" s="180">
        <f>SUM(C59:C61)</f>
        <v/>
      </c>
      <c r="D62" s="180">
        <f>SUM(D59:D61)</f>
        <v/>
      </c>
      <c r="E62" s="180">
        <f>SUM(E59:E61)</f>
        <v/>
      </c>
      <c r="F62" s="180">
        <f>SUM(F59:F61)</f>
        <v/>
      </c>
      <c r="G62" s="180">
        <f>SUM(G59:G61)</f>
        <v/>
      </c>
      <c r="H62" s="180">
        <f>SUM(H59:H61)</f>
        <v/>
      </c>
      <c r="I62" s="180">
        <f>SUM(I59:I61)</f>
        <v/>
      </c>
      <c r="J62" s="180">
        <f>SUM(J59:J61)</f>
        <v/>
      </c>
      <c r="K62" s="180">
        <f>SUM(K59:K61)</f>
        <v/>
      </c>
      <c r="L62" s="180">
        <f>SUM(L59:L61)</f>
        <v/>
      </c>
      <c r="M62" s="180">
        <f>SUM(M59:M61)</f>
        <v/>
      </c>
      <c r="N62" s="180">
        <f>SUM(N59:N61)</f>
        <v/>
      </c>
    </row>
    <row r="63" ht="19.95" customHeight="1" s="1">
      <c r="A63" s="190" t="inlineStr">
        <is>
          <t xml:space="preserve">  OPERATING EXPENSES — GENERAL &amp; ADMINISTRATIVE</t>
        </is>
      </c>
    </row>
    <row r="64">
      <c r="A64" s="202" t="inlineStr">
        <is>
          <t>Professional Fees (Legal, Audit, Consulting)</t>
        </is>
      </c>
      <c r="B64" s="182" t="n">
        <v>3000</v>
      </c>
      <c r="C64" s="182" t="n">
        <v>2000</v>
      </c>
      <c r="D64" s="182" t="n">
        <v>2000</v>
      </c>
      <c r="E64" s="182" t="n">
        <v>1000</v>
      </c>
      <c r="F64" s="182" t="n">
        <v>1000</v>
      </c>
      <c r="G64" s="182" t="n">
        <v>1000</v>
      </c>
      <c r="H64" s="182" t="n">
        <v>1000</v>
      </c>
      <c r="I64" s="182" t="n">
        <v>1000</v>
      </c>
      <c r="J64" s="182" t="n">
        <v>1000</v>
      </c>
      <c r="K64" s="182" t="n">
        <v>1000</v>
      </c>
      <c r="L64" s="182" t="n">
        <v>1000</v>
      </c>
      <c r="M64" s="182" t="n">
        <v>1000</v>
      </c>
      <c r="N64" s="182">
        <f>SUM(B64:M64)</f>
        <v/>
      </c>
    </row>
    <row r="65">
      <c r="A65" s="202" t="inlineStr">
        <is>
          <t>Insurance</t>
        </is>
      </c>
      <c r="B65" s="182" t="n">
        <v>2000</v>
      </c>
      <c r="C65" s="182" t="n">
        <v>200</v>
      </c>
      <c r="D65" s="182" t="n">
        <v>200</v>
      </c>
      <c r="E65" s="182" t="n">
        <v>200</v>
      </c>
      <c r="F65" s="182" t="n">
        <v>200</v>
      </c>
      <c r="G65" s="182" t="n">
        <v>200</v>
      </c>
      <c r="H65" s="182" t="n">
        <v>200</v>
      </c>
      <c r="I65" s="182" t="n">
        <v>200</v>
      </c>
      <c r="J65" s="182" t="n">
        <v>200</v>
      </c>
      <c r="K65" s="182" t="n">
        <v>200</v>
      </c>
      <c r="L65" s="182" t="n">
        <v>200</v>
      </c>
      <c r="M65" s="182" t="n">
        <v>200</v>
      </c>
      <c r="N65" s="182">
        <f>SUM(B65:M65)</f>
        <v/>
      </c>
    </row>
    <row r="66">
      <c r="A66" s="202" t="inlineStr">
        <is>
          <t>Communication (Phone, Internet)</t>
        </is>
      </c>
      <c r="B66" s="182" t="n">
        <v>400</v>
      </c>
      <c r="C66" s="182" t="n">
        <v>400</v>
      </c>
      <c r="D66" s="182" t="n">
        <v>400</v>
      </c>
      <c r="E66" s="182" t="n">
        <v>400</v>
      </c>
      <c r="F66" s="182" t="n">
        <v>400</v>
      </c>
      <c r="G66" s="182" t="n">
        <v>400</v>
      </c>
      <c r="H66" s="182" t="n">
        <v>400</v>
      </c>
      <c r="I66" s="182" t="n">
        <v>400</v>
      </c>
      <c r="J66" s="182" t="n">
        <v>400</v>
      </c>
      <c r="K66" s="182" t="n">
        <v>400</v>
      </c>
      <c r="L66" s="182" t="n">
        <v>400</v>
      </c>
      <c r="M66" s="182" t="n">
        <v>400</v>
      </c>
      <c r="N66" s="182">
        <f>SUM(B66:M66)</f>
        <v/>
      </c>
    </row>
    <row r="67">
      <c r="A67" s="202" t="inlineStr">
        <is>
          <t>Travel &amp; Business Entertainment</t>
        </is>
      </c>
      <c r="B67" s="182" t="n">
        <v>1500</v>
      </c>
      <c r="C67" s="182" t="n">
        <v>1500</v>
      </c>
      <c r="D67" s="182" t="n">
        <v>1500</v>
      </c>
      <c r="E67" s="182" t="n">
        <v>1000</v>
      </c>
      <c r="F67" s="182" t="n">
        <v>1000</v>
      </c>
      <c r="G67" s="182" t="n">
        <v>1000</v>
      </c>
      <c r="H67" s="182" t="n">
        <v>800</v>
      </c>
      <c r="I67" s="182" t="n">
        <v>800</v>
      </c>
      <c r="J67" s="182" t="n">
        <v>800</v>
      </c>
      <c r="K67" s="182" t="n">
        <v>800</v>
      </c>
      <c r="L67" s="182" t="n">
        <v>800</v>
      </c>
      <c r="M67" s="182" t="n">
        <v>800</v>
      </c>
      <c r="N67" s="182">
        <f>SUM(B67:M67)</f>
        <v/>
      </c>
    </row>
    <row r="68">
      <c r="A68" s="202" t="inlineStr">
        <is>
          <t>Bank Charges &amp; Transfer Fees</t>
        </is>
      </c>
      <c r="B68" s="182" t="n">
        <v>300</v>
      </c>
      <c r="C68" s="182" t="n">
        <v>300</v>
      </c>
      <c r="D68" s="182" t="n">
        <v>300</v>
      </c>
      <c r="E68" s="182" t="n">
        <v>300</v>
      </c>
      <c r="F68" s="182" t="n">
        <v>300</v>
      </c>
      <c r="G68" s="182" t="n">
        <v>300</v>
      </c>
      <c r="H68" s="182" t="n">
        <v>300</v>
      </c>
      <c r="I68" s="182" t="n">
        <v>300</v>
      </c>
      <c r="J68" s="182" t="n">
        <v>300</v>
      </c>
      <c r="K68" s="182" t="n">
        <v>300</v>
      </c>
      <c r="L68" s="182" t="n">
        <v>300</v>
      </c>
      <c r="M68" s="182" t="n">
        <v>300</v>
      </c>
      <c r="N68" s="182">
        <f>SUM(B68:M68)</f>
        <v/>
      </c>
    </row>
    <row r="69">
      <c r="A69" s="202" t="inlineStr">
        <is>
          <t>Government Fees &amp; Licensing (GOEI, etc.)</t>
        </is>
      </c>
      <c r="B69" s="182" t="n">
        <v>3000</v>
      </c>
      <c r="C69" s="182" t="n">
        <v>2000</v>
      </c>
      <c r="D69" s="182" t="n">
        <v>2000</v>
      </c>
      <c r="E69" s="182" t="n">
        <v>500</v>
      </c>
      <c r="F69" s="182" t="n">
        <v>500</v>
      </c>
      <c r="G69" s="182" t="n">
        <v>300</v>
      </c>
      <c r="H69" s="182" t="n">
        <v>300</v>
      </c>
      <c r="I69" s="182" t="n">
        <v>300</v>
      </c>
      <c r="J69" s="182" t="n">
        <v>300</v>
      </c>
      <c r="K69" s="182" t="n">
        <v>300</v>
      </c>
      <c r="L69" s="182" t="n">
        <v>300</v>
      </c>
      <c r="M69" s="182" t="n">
        <v>300</v>
      </c>
      <c r="N69" s="182">
        <f>SUM(B69:M69)</f>
        <v/>
      </c>
    </row>
    <row r="70">
      <c r="A70" s="202" t="inlineStr">
        <is>
          <t>Miscellaneous</t>
        </is>
      </c>
      <c r="B70" s="182" t="n">
        <v>500</v>
      </c>
      <c r="C70" s="182" t="n">
        <v>500</v>
      </c>
      <c r="D70" s="182" t="n">
        <v>500</v>
      </c>
      <c r="E70" s="182" t="n">
        <v>500</v>
      </c>
      <c r="F70" s="182" t="n">
        <v>500</v>
      </c>
      <c r="G70" s="182" t="n">
        <v>500</v>
      </c>
      <c r="H70" s="182" t="n">
        <v>500</v>
      </c>
      <c r="I70" s="182" t="n">
        <v>500</v>
      </c>
      <c r="J70" s="182" t="n">
        <v>500</v>
      </c>
      <c r="K70" s="182" t="n">
        <v>500</v>
      </c>
      <c r="L70" s="182" t="n">
        <v>500</v>
      </c>
      <c r="M70" s="182" t="n">
        <v>500</v>
      </c>
      <c r="N70" s="182">
        <f>SUM(B70:M70)</f>
        <v/>
      </c>
    </row>
    <row r="71" ht="18" customHeight="1" s="1">
      <c r="A71" s="179" t="inlineStr">
        <is>
          <t>TOTAL G&amp;A</t>
        </is>
      </c>
      <c r="B71" s="180">
        <f>SUM(B64:B70)</f>
        <v/>
      </c>
      <c r="C71" s="180">
        <f>SUM(C64:C70)</f>
        <v/>
      </c>
      <c r="D71" s="180">
        <f>SUM(D64:D70)</f>
        <v/>
      </c>
      <c r="E71" s="180">
        <f>SUM(E64:E70)</f>
        <v/>
      </c>
      <c r="F71" s="180">
        <f>SUM(F64:F70)</f>
        <v/>
      </c>
      <c r="G71" s="180">
        <f>SUM(G64:G70)</f>
        <v/>
      </c>
      <c r="H71" s="180">
        <f>SUM(H64:H70)</f>
        <v/>
      </c>
      <c r="I71" s="180">
        <f>SUM(I64:I70)</f>
        <v/>
      </c>
      <c r="J71" s="180">
        <f>SUM(J64:J70)</f>
        <v/>
      </c>
      <c r="K71" s="180">
        <f>SUM(K64:K70)</f>
        <v/>
      </c>
      <c r="L71" s="180">
        <f>SUM(L64:L70)</f>
        <v/>
      </c>
      <c r="M71" s="180">
        <f>SUM(M64:M70)</f>
        <v/>
      </c>
      <c r="N71" s="180">
        <f>SUM(N64:N70)</f>
        <v/>
      </c>
    </row>
    <row r="72" ht="19.95" customHeight="1" s="1">
      <c r="A72" s="190" t="inlineStr">
        <is>
          <t xml:space="preserve">  DEPRECIATION &amp; AMORTISATION</t>
        </is>
      </c>
    </row>
    <row r="73" ht="26.4" customHeight="1" s="1">
      <c r="A73" s="204" t="inlineStr">
        <is>
          <t>Fit-out &amp; Equipment Amortisation (3-yr straight line)</t>
        </is>
      </c>
      <c r="B73" s="182" t="n">
        <v>1400</v>
      </c>
      <c r="C73" s="182" t="n">
        <v>1400</v>
      </c>
      <c r="D73" s="182" t="n">
        <v>1400</v>
      </c>
      <c r="E73" s="182" t="n">
        <v>1400</v>
      </c>
      <c r="F73" s="182" t="n">
        <v>1400</v>
      </c>
      <c r="G73" s="182" t="n">
        <v>1400</v>
      </c>
      <c r="H73" s="182" t="n">
        <v>1400</v>
      </c>
      <c r="I73" s="182" t="n">
        <v>1400</v>
      </c>
      <c r="J73" s="182" t="n">
        <v>1400</v>
      </c>
      <c r="K73" s="182" t="n">
        <v>1400</v>
      </c>
      <c r="L73" s="182" t="n">
        <v>1400</v>
      </c>
      <c r="M73" s="182" t="n">
        <v>1400</v>
      </c>
      <c r="N73" s="182">
        <f>SUM(B73:M73)</f>
        <v/>
      </c>
    </row>
    <row r="74" ht="18" customHeight="1" s="1">
      <c r="A74" s="179" t="inlineStr">
        <is>
          <t>TOTAL D&amp;A</t>
        </is>
      </c>
      <c r="B74" s="180">
        <f>B73</f>
        <v/>
      </c>
      <c r="C74" s="180">
        <f>C73</f>
        <v/>
      </c>
      <c r="D74" s="180">
        <f>D73</f>
        <v/>
      </c>
      <c r="E74" s="180">
        <f>E73</f>
        <v/>
      </c>
      <c r="F74" s="180">
        <f>F73</f>
        <v/>
      </c>
      <c r="G74" s="180">
        <f>G73</f>
        <v/>
      </c>
      <c r="H74" s="180">
        <f>H73</f>
        <v/>
      </c>
      <c r="I74" s="180">
        <f>I73</f>
        <v/>
      </c>
      <c r="J74" s="180">
        <f>J73</f>
        <v/>
      </c>
      <c r="K74" s="180">
        <f>K73</f>
        <v/>
      </c>
      <c r="L74" s="180">
        <f>L73</f>
        <v/>
      </c>
      <c r="M74" s="180">
        <f>M73</f>
        <v/>
      </c>
      <c r="N74" s="180">
        <f>SUM(B74:M74)</f>
        <v/>
      </c>
    </row>
    <row r="75" ht="18" customHeight="1" s="1">
      <c r="A75" s="205" t="inlineStr">
        <is>
          <t>TOTAL OPERATING EXPENSES</t>
        </is>
      </c>
      <c r="B75" s="206" t="n">
        <v>54420</v>
      </c>
      <c r="C75" s="206" t="n">
        <v>53610</v>
      </c>
      <c r="D75" s="206" t="n">
        <v>66654.3</v>
      </c>
      <c r="E75" s="206" t="n">
        <v>62830</v>
      </c>
      <c r="F75" s="206" t="n">
        <v>63330</v>
      </c>
      <c r="G75" s="206" t="n">
        <v>64410</v>
      </c>
      <c r="H75" s="206" t="n">
        <v>63810</v>
      </c>
      <c r="I75" s="206" t="n">
        <v>66716.5</v>
      </c>
      <c r="J75" s="206" t="n">
        <v>67510</v>
      </c>
      <c r="K75" s="206" t="n">
        <v>69310</v>
      </c>
      <c r="L75" s="206" t="n">
        <v>71610</v>
      </c>
      <c r="M75" s="206" t="n">
        <v>73610</v>
      </c>
      <c r="N75" s="206">
        <f>SUM(B75:M75)</f>
        <v/>
      </c>
      <c r="O75" s="178" t="n"/>
    </row>
    <row r="76" ht="18" customHeight="1" s="1">
      <c r="A76" s="220" t="inlineStr">
        <is>
          <t>EARNINGS BEFORE INTEREST &amp; TAX (EBIT)</t>
        </is>
      </c>
      <c r="B76" s="207" t="n">
        <v>-50220</v>
      </c>
      <c r="C76" s="207" t="n">
        <v>-40210</v>
      </c>
      <c r="D76" s="207" t="n">
        <v>-34062.9</v>
      </c>
      <c r="E76" s="207" t="n">
        <v>-10830</v>
      </c>
      <c r="F76" s="207" t="n">
        <v>-4630</v>
      </c>
      <c r="G76" s="207" t="n">
        <v>202424.8</v>
      </c>
      <c r="H76" s="207" t="n">
        <v>-5110</v>
      </c>
      <c r="I76" s="207" t="n">
        <v>398769.6</v>
      </c>
      <c r="J76" s="207" t="n">
        <v>1690</v>
      </c>
      <c r="K76" s="207" t="n">
        <v>423259.6</v>
      </c>
      <c r="L76" s="207" t="n">
        <v>21890</v>
      </c>
      <c r="M76" s="207" t="n">
        <v>433355.3</v>
      </c>
      <c r="N76" s="207">
        <f>SUM(B76:M76)</f>
        <v/>
      </c>
    </row>
    <row r="77">
      <c r="A77" s="196" t="inlineStr">
        <is>
          <t>Interest on Trade Finance (est.)</t>
        </is>
      </c>
      <c r="B77" s="182" t="n">
        <v>0</v>
      </c>
      <c r="C77" s="182" t="n">
        <v>500</v>
      </c>
      <c r="D77" s="182" t="n">
        <v>500</v>
      </c>
      <c r="E77" s="182" t="n">
        <v>500</v>
      </c>
      <c r="F77" s="182" t="n">
        <v>500</v>
      </c>
      <c r="G77" s="182" t="n">
        <v>500</v>
      </c>
      <c r="H77" s="182" t="n">
        <v>500</v>
      </c>
      <c r="I77" s="182" t="n">
        <v>500</v>
      </c>
      <c r="J77" s="182" t="n">
        <v>500</v>
      </c>
      <c r="K77" s="182" t="n">
        <v>500</v>
      </c>
      <c r="L77" s="182" t="n">
        <v>500</v>
      </c>
      <c r="M77" s="182" t="n">
        <v>500</v>
      </c>
      <c r="N77" s="182">
        <f>SUM(B77:M77)</f>
        <v/>
      </c>
    </row>
    <row r="78" ht="18" customHeight="1" s="1">
      <c r="A78" s="175" t="inlineStr">
        <is>
          <t>EARNINGS BEFORE TAX (EBT)</t>
        </is>
      </c>
      <c r="B78" s="207" t="n">
        <v>-50220</v>
      </c>
      <c r="C78" s="207" t="n">
        <v>-40710</v>
      </c>
      <c r="D78" s="207" t="n">
        <v>-34562.9</v>
      </c>
      <c r="E78" s="207" t="n">
        <v>-11330</v>
      </c>
      <c r="F78" s="207" t="n">
        <v>-5130</v>
      </c>
      <c r="G78" s="207" t="n">
        <v>201924.8</v>
      </c>
      <c r="H78" s="207" t="n">
        <v>-5610</v>
      </c>
      <c r="I78" s="207" t="n">
        <v>398269.6</v>
      </c>
      <c r="J78" s="207" t="n">
        <v>1190</v>
      </c>
      <c r="K78" s="207" t="n">
        <v>422759.6</v>
      </c>
      <c r="L78" s="207" t="n">
        <v>21390</v>
      </c>
      <c r="M78" s="207" t="n">
        <v>432855.3</v>
      </c>
      <c r="N78" s="207">
        <f>SUM(B78:M78)</f>
        <v/>
      </c>
      <c r="O78" s="221" t="n"/>
    </row>
    <row r="79" ht="26.4" customFormat="1" customHeight="1" s="201">
      <c r="A79" s="208" t="inlineStr">
        <is>
          <t>Corporate Income Tax (22.5% — with loss carry-forward)</t>
        </is>
      </c>
      <c r="B79" s="209" t="n">
        <v>0</v>
      </c>
      <c r="C79" s="209" t="n">
        <v>0</v>
      </c>
      <c r="D79" s="209" t="n">
        <v>0</v>
      </c>
      <c r="E79" s="209" t="n">
        <v>0</v>
      </c>
      <c r="F79" s="209" t="n">
        <v>0</v>
      </c>
      <c r="G79" s="209" t="n">
        <v>13493.7</v>
      </c>
      <c r="H79" s="209" t="n">
        <v>0</v>
      </c>
      <c r="I79" s="209" t="n">
        <v>88348.39999999999</v>
      </c>
      <c r="J79" s="209" t="n">
        <v>267.7</v>
      </c>
      <c r="K79" s="209" t="n">
        <v>95120.89999999999</v>
      </c>
      <c r="L79" s="209" t="n">
        <v>4812.8</v>
      </c>
      <c r="M79" s="209" t="n">
        <v>97392.39999999999</v>
      </c>
      <c r="N79" s="209">
        <f>SUM(B79:M79)</f>
        <v/>
      </c>
    </row>
    <row r="80" ht="18" customHeight="1" s="1">
      <c r="A80" s="175" t="inlineStr">
        <is>
          <t>NET PROFIT / (LOSS)</t>
        </is>
      </c>
      <c r="B80" s="207" t="n">
        <v>-50220</v>
      </c>
      <c r="C80" s="207" t="n">
        <v>-40710</v>
      </c>
      <c r="D80" s="207" t="n">
        <v>-34562.9</v>
      </c>
      <c r="E80" s="207" t="n">
        <v>-11330</v>
      </c>
      <c r="F80" s="207" t="n">
        <v>-5130</v>
      </c>
      <c r="G80" s="207" t="n">
        <v>188431.1</v>
      </c>
      <c r="H80" s="207" t="n">
        <v>-5610</v>
      </c>
      <c r="I80" s="207" t="n">
        <v>309921.2</v>
      </c>
      <c r="J80" s="207" t="n">
        <v>922.3</v>
      </c>
      <c r="K80" s="207" t="n">
        <v>327638.7</v>
      </c>
      <c r="L80" s="207" t="n">
        <v>16577.2</v>
      </c>
      <c r="M80" s="207" t="n">
        <v>335462.9</v>
      </c>
      <c r="N80" s="207">
        <f>SUM(B80:M80)</f>
        <v/>
      </c>
    </row>
    <row r="81">
      <c r="A81" s="187" t="inlineStr">
        <is>
          <t>Net Margin %</t>
        </is>
      </c>
      <c r="B81" s="210" t="n">
        <v>-2.511</v>
      </c>
      <c r="C81" s="211" t="n">
        <v>-0.678</v>
      </c>
      <c r="D81" s="212" t="n">
        <v>-0.231</v>
      </c>
      <c r="E81" s="212" t="n">
        <v>-0.047</v>
      </c>
      <c r="F81" s="212" t="n">
        <v>-0.019</v>
      </c>
      <c r="G81" s="210" t="n">
        <v>0.259</v>
      </c>
      <c r="H81" s="212" t="n">
        <v>-0.021</v>
      </c>
      <c r="I81" s="210" t="n">
        <v>0.275</v>
      </c>
      <c r="J81" s="210" t="n">
        <v>0.003</v>
      </c>
      <c r="K81" s="210" t="n">
        <v>0.259</v>
      </c>
      <c r="L81" s="210" t="n">
        <v>0.039</v>
      </c>
      <c r="M81" s="210" t="n">
        <v>0.254</v>
      </c>
      <c r="N81" s="213" t="n">
        <v>0.166</v>
      </c>
    </row>
    <row r="82">
      <c r="A82" s="214" t="inlineStr">
        <is>
          <t>Cumulative Profit / (Loss)</t>
        </is>
      </c>
      <c r="B82" s="215" t="n">
        <v>-50220</v>
      </c>
      <c r="C82" s="215" t="n">
        <v>-90930</v>
      </c>
      <c r="D82" s="215" t="n">
        <v>-125492.9</v>
      </c>
      <c r="E82" s="216" t="n">
        <v>-136822.9</v>
      </c>
      <c r="F82" s="216" t="n">
        <v>-141952.9</v>
      </c>
      <c r="G82" s="217" t="n">
        <v>46478.2</v>
      </c>
      <c r="H82" s="217" t="n">
        <v>40868.2</v>
      </c>
      <c r="I82" s="217" t="n">
        <v>350789.4</v>
      </c>
      <c r="J82" s="217" t="n">
        <v>351711.7</v>
      </c>
      <c r="K82" s="217" t="n">
        <v>679350.4</v>
      </c>
      <c r="L82" s="217" t="n">
        <v>695927.6</v>
      </c>
      <c r="M82" s="217" t="n">
        <v>1031390.5</v>
      </c>
      <c r="N82" s="178" t="n">
        <v>1031390.5</v>
      </c>
    </row>
    <row r="84" ht="28.8" customHeight="1" s="1">
      <c r="A84" s="218" t="inlineStr">
        <is>
          <t xml:space="preserve">  KEY ASSUMPTIONS Vestwoods: Egypt COGS = 79% (50% I LOCK wholesale + 50% direct retail )  |  Sudan COGS = 50% wholesale  | Algeria COGS = 50% wholesale |  Sales commissions = 4% of Egypt sales  |  Benefits = 15% of base salaries  |  Shipping = USD 6,865/40ft  |  EGP 53 = USD 1  |  Egypt Y1 = 6 containers  |  Sudan Y1 = 4 containers |  Algeria Y1 = 3 containers</t>
        </is>
      </c>
    </row>
    <row r="85" ht="27" customHeight="1" s="1">
      <c r="A85" s="218" t="inlineStr">
        <is>
          <t xml:space="preserve">  KEY ASSUMPTIONS Al Reem Plastics: Egypt COGS = 75% (50% wholesale + 50% direct retail )  |  Sudan COGS = 82.64% wholesale |  Sales commissions = 3% of Egypt sales  |  Benefits = 15% of base salaries  |  Shipping = USD 2,500/40ft  |  EGP 53 = USD 1  |  Egypt Y1 = 10 containers  |  Sudan Y1 = 5 containers </t>
        </is>
      </c>
    </row>
  </sheetData>
  <mergeCells count="12">
    <mergeCell ref="A55:N55"/>
    <mergeCell ref="A12:N12"/>
    <mergeCell ref="A48:N48"/>
    <mergeCell ref="A21:N21"/>
    <mergeCell ref="A2:N2"/>
    <mergeCell ref="A72:N72"/>
    <mergeCell ref="A63:N63"/>
    <mergeCell ref="A85:N85"/>
    <mergeCell ref="A5:N5"/>
    <mergeCell ref="A84:N84"/>
    <mergeCell ref="A58:N58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5"/>
  <sheetViews>
    <sheetView showGridLines="0" workbookViewId="0">
      <pane xSplit="1" ySplit="4" topLeftCell="B5" activePane="bottomRight" state="frozen"/>
      <selection activeCell="A21" sqref="A21:N21"/>
      <selection pane="topRight" activeCell="A21" sqref="A21:N21"/>
      <selection pane="bottomLeft" activeCell="A21" sqref="A21:N21"/>
      <selection pane="bottomRight" activeCell="E11" sqref="E11"/>
    </sheetView>
  </sheetViews>
  <sheetFormatPr baseColWidth="8" defaultRowHeight="13.8"/>
  <cols>
    <col width="44.5546875" customWidth="1" style="241" min="1" max="1"/>
    <col width="11" customWidth="1" style="170" min="2" max="14"/>
    <col width="9.6640625" bestFit="1" customWidth="1" style="170" min="15" max="15"/>
    <col width="8.88671875" customWidth="1" style="170" min="16" max="16384"/>
  </cols>
  <sheetData>
    <row r="1" ht="25.95" customHeight="1" s="1">
      <c r="A1" s="240" t="inlineStr">
        <is>
          <t>NORCO / Vestwoods Egypt — Monthly Cash Flow Statement — Year 1 (August 2026 – July 2027)</t>
        </is>
      </c>
    </row>
    <row r="2" ht="30.6" customHeight="1" s="1">
      <c r="A2" s="259" t="inlineStr">
        <is>
          <t>Vestwoods terms: After approval of Sinosure 10% deposit on PO + 90% at 3-month credit  |  Egypt customers: 30-60 day AR (1-month lag)  |  Sudan: 50% advance + 50% on delivery (=same month)</t>
        </is>
      </c>
    </row>
    <row r="3" ht="6" customHeight="1" s="1"/>
    <row r="4" ht="26.4" customHeight="1" s="1">
      <c r="A4" s="220" t="inlineStr">
        <is>
          <t>CASH FLOW ITEM</t>
        </is>
      </c>
      <c r="B4" s="173" t="inlineStr">
        <is>
          <t>Aug-26</t>
        </is>
      </c>
      <c r="C4" s="173" t="inlineStr">
        <is>
          <t>Sep-26</t>
        </is>
      </c>
      <c r="D4" s="173" t="inlineStr">
        <is>
          <t>Oct-26</t>
        </is>
      </c>
      <c r="E4" s="173" t="inlineStr">
        <is>
          <t>Nov-26</t>
        </is>
      </c>
      <c r="F4" s="173" t="inlineStr">
        <is>
          <t>Dec-26</t>
        </is>
      </c>
      <c r="G4" s="173" t="inlineStr">
        <is>
          <t>Jan-27</t>
        </is>
      </c>
      <c r="H4" s="173" t="inlineStr">
        <is>
          <t>Feb-27</t>
        </is>
      </c>
      <c r="I4" s="173" t="inlineStr">
        <is>
          <t>Mar-27</t>
        </is>
      </c>
      <c r="J4" s="173" t="inlineStr">
        <is>
          <t>Apr-27</t>
        </is>
      </c>
      <c r="K4" s="173" t="inlineStr">
        <is>
          <t>May-27</t>
        </is>
      </c>
      <c r="L4" s="173" t="inlineStr">
        <is>
          <t>Jun-27</t>
        </is>
      </c>
      <c r="M4" s="173" t="inlineStr">
        <is>
          <t>Jul-27</t>
        </is>
      </c>
      <c r="N4" s="174" t="inlineStr">
        <is>
          <t>YEAR 1
TOTAL</t>
        </is>
      </c>
    </row>
    <row r="5" ht="19.95" customHeight="1" s="1">
      <c r="A5" s="190" t="inlineStr">
        <is>
          <t xml:space="preserve">  CASH INFLOWS</t>
        </is>
      </c>
    </row>
    <row r="6" ht="26.4" customFormat="1" customHeight="1" s="201">
      <c r="A6" s="261" t="inlineStr">
        <is>
          <t>Egypt Collections Vestwoods (1-month lag, 30-day avg)</t>
        </is>
      </c>
      <c r="B6" s="200" t="n">
        <v>20000</v>
      </c>
      <c r="C6" s="200" t="n">
        <v>40000</v>
      </c>
      <c r="D6" s="200">
        <f>100518-40000-20000</f>
        <v/>
      </c>
      <c r="E6" s="200" t="n">
        <v>55000</v>
      </c>
      <c r="F6" s="200" t="n">
        <v>80000</v>
      </c>
      <c r="G6" s="200" t="n">
        <v>130000</v>
      </c>
      <c r="H6" s="200" t="n">
        <v>180000</v>
      </c>
      <c r="I6" s="200" t="n">
        <v>270000</v>
      </c>
      <c r="J6" s="200" t="n">
        <v>330000</v>
      </c>
      <c r="K6" s="200" t="n">
        <v>380000</v>
      </c>
      <c r="L6" s="200" t="n">
        <v>420000</v>
      </c>
      <c r="M6" s="200" t="n">
        <v>440000</v>
      </c>
      <c r="N6" s="200">
        <f>SUM(B6:M6)</f>
        <v/>
      </c>
      <c r="O6" s="221">
        <f>N6-'Monthly P&amp;L Year 1'!N6</f>
        <v/>
      </c>
    </row>
    <row r="7" ht="13.2" customFormat="1" customHeight="1" s="263">
      <c r="A7" s="261" t="inlineStr">
        <is>
          <t xml:space="preserve">Egypt Collections Al Reem Plastics </t>
        </is>
      </c>
      <c r="B7" s="200" t="n"/>
      <c r="C7" s="262" t="n">
        <v>20000</v>
      </c>
      <c r="D7" s="262" t="n">
        <v>30000</v>
      </c>
      <c r="E7" s="262" t="n">
        <v>40000</v>
      </c>
      <c r="F7" s="262" t="n">
        <v>50000</v>
      </c>
      <c r="G7" s="262" t="n">
        <v>50000</v>
      </c>
      <c r="H7" s="262" t="n">
        <v>50000</v>
      </c>
      <c r="I7" s="262" t="n">
        <v>56883</v>
      </c>
      <c r="J7" s="262" t="n">
        <v>50000</v>
      </c>
      <c r="K7" s="262" t="n">
        <v>70000</v>
      </c>
      <c r="L7" s="262" t="n">
        <v>80000</v>
      </c>
      <c r="M7" s="262" t="n">
        <v>80000</v>
      </c>
      <c r="N7" s="200">
        <f>SUM(B7:M7)</f>
        <v/>
      </c>
      <c r="O7" s="264">
        <f>N7-'Monthly P&amp;L Year 1'!N9</f>
        <v/>
      </c>
    </row>
    <row r="8" ht="26.4" customFormat="1" customHeight="1" s="201">
      <c r="A8" s="261" t="inlineStr">
        <is>
          <t>Sudan Cash Received Vestwoods (50% advance + 50% delivery)</t>
        </is>
      </c>
      <c r="B8" s="200" t="n"/>
      <c r="C8" s="200" t="n"/>
      <c r="D8" s="200" t="n"/>
      <c r="E8" s="200" t="n"/>
      <c r="F8" s="200" t="n"/>
      <c r="G8" s="200">
        <f>393861/2</f>
        <v/>
      </c>
      <c r="H8" s="200">
        <f>393861/2</f>
        <v/>
      </c>
      <c r="I8" s="200">
        <f>393861/2</f>
        <v/>
      </c>
      <c r="J8" s="200">
        <f>393861/2</f>
        <v/>
      </c>
      <c r="K8" s="200">
        <f>393861/2</f>
        <v/>
      </c>
      <c r="L8" s="200">
        <f>393861/2</f>
        <v/>
      </c>
      <c r="M8" s="200">
        <f>393861/2</f>
        <v/>
      </c>
      <c r="N8" s="200">
        <f>SUM(B8:M8)</f>
        <v/>
      </c>
      <c r="O8" s="221">
        <f>N8-'Monthly P&amp;L Year 1'!N7</f>
        <v/>
      </c>
    </row>
    <row r="9" ht="29.4" customFormat="1" customHeight="1" s="201">
      <c r="A9" s="261" t="inlineStr">
        <is>
          <t>Sudan Cash Received Al Reem Plastics  100% Downpayment</t>
        </is>
      </c>
      <c r="B9" s="200" t="n"/>
      <c r="C9" s="200" t="n"/>
      <c r="D9" s="200" t="n"/>
      <c r="E9" s="200" t="n"/>
      <c r="F9" s="200" t="n"/>
      <c r="G9" s="200" t="n">
        <v>52444</v>
      </c>
      <c r="H9" s="200" t="n"/>
      <c r="I9" s="200" t="n">
        <v>52444</v>
      </c>
      <c r="J9" s="200" t="n"/>
      <c r="K9" s="200">
        <f>52444*2</f>
        <v/>
      </c>
      <c r="L9" s="200" t="n"/>
      <c r="M9" s="200" t="n">
        <v>52444</v>
      </c>
      <c r="N9" s="200">
        <f>SUM(B9:M9)</f>
        <v/>
      </c>
    </row>
    <row r="10" ht="13.2" customFormat="1" customHeight="1" s="201">
      <c r="A10" s="261" t="inlineStr">
        <is>
          <t>Algeria Cash Received (50% advance + 50% delivery)</t>
        </is>
      </c>
      <c r="B10" s="200" t="n"/>
      <c r="C10" s="200" t="n"/>
      <c r="D10" s="200" t="n"/>
      <c r="E10" s="200" t="n"/>
      <c r="F10" s="200" t="n"/>
      <c r="G10" s="200" t="n"/>
      <c r="H10" s="200" t="n"/>
      <c r="I10" s="200">
        <f>393861/2</f>
        <v/>
      </c>
      <c r="J10" s="200">
        <f>393861/2</f>
        <v/>
      </c>
      <c r="K10" s="200">
        <f>393861/2</f>
        <v/>
      </c>
      <c r="L10" s="200">
        <f>393861/2</f>
        <v/>
      </c>
      <c r="M10" s="200">
        <f>393861/2</f>
        <v/>
      </c>
      <c r="N10" s="200">
        <f>SUM(B10:M10)</f>
        <v/>
      </c>
      <c r="O10" s="221">
        <f>N10-'Monthly P&amp;L Year 1'!N8</f>
        <v/>
      </c>
    </row>
    <row r="11">
      <c r="A11" s="242" t="inlineStr">
        <is>
          <t>Investor capital (T1 Aug 500K | T2 Nov 500K — USD 1.0M core)</t>
        </is>
      </c>
      <c r="B11" s="182" t="n">
        <v>500000</v>
      </c>
      <c r="C11" s="182" t="n"/>
      <c r="D11" s="182" t="n"/>
      <c r="E11" s="182" t="n">
        <v>500000</v>
      </c>
      <c r="F11" s="182" t="n"/>
      <c r="G11" s="182" t="n"/>
      <c r="H11" s="182" t="n"/>
      <c r="I11" s="182" t="n"/>
      <c r="J11" s="182" t="n"/>
      <c r="K11" s="182" t="n"/>
      <c r="L11" s="182" t="n"/>
      <c r="M11" s="182" t="n"/>
      <c r="N11" s="182">
        <f>SUM(B11:M11)</f>
        <v/>
      </c>
    </row>
    <row r="12" ht="18" customHeight="1" s="1">
      <c r="A12" s="243" t="inlineStr">
        <is>
          <t>TOTAL CASH INFLOWS</t>
        </is>
      </c>
      <c r="B12" s="186">
        <f>SUM(B6:B11)</f>
        <v/>
      </c>
      <c r="C12" s="186">
        <f>SUM(C6:C11)</f>
        <v/>
      </c>
      <c r="D12" s="186">
        <f>SUM(D6:D11)</f>
        <v/>
      </c>
      <c r="E12" s="186">
        <f>SUM(E6:E11)</f>
        <v/>
      </c>
      <c r="F12" s="186">
        <f>SUM(F6:F11)</f>
        <v/>
      </c>
      <c r="G12" s="186">
        <f>SUM(G6:G11)</f>
        <v/>
      </c>
      <c r="H12" s="186">
        <f>SUM(H6:H11)</f>
        <v/>
      </c>
      <c r="I12" s="186">
        <f>SUM(I6:I11)</f>
        <v/>
      </c>
      <c r="J12" s="186">
        <f>SUM(J6:J11)</f>
        <v/>
      </c>
      <c r="K12" s="186">
        <f>SUM(K6:K11)</f>
        <v/>
      </c>
      <c r="L12" s="186">
        <f>SUM(L6:L11)</f>
        <v/>
      </c>
      <c r="M12" s="186">
        <f>SUM(M6:M11)</f>
        <v/>
      </c>
      <c r="N12" s="186">
        <f>SUM(N6:N11)</f>
        <v/>
      </c>
    </row>
    <row r="13" ht="19.95" customHeight="1" s="1">
      <c r="A13" s="244" t="inlineStr">
        <is>
          <t xml:space="preserve">  CASH OUTFLOWS</t>
        </is>
      </c>
    </row>
    <row r="14">
      <c r="A14" s="261" t="inlineStr">
        <is>
          <t>Vestwoods 1st Container payment full</t>
        </is>
      </c>
      <c r="B14" s="182" t="n">
        <v>50000</v>
      </c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2">
        <f>SUM(B14:M14)</f>
        <v/>
      </c>
    </row>
    <row r="15" ht="26.4" customHeight="1" s="1">
      <c r="A15" s="261" t="inlineStr">
        <is>
          <t>Vestwoods 2nd Container Deposits (50% Downpayment + 50% 60 days of  BOL )</t>
        </is>
      </c>
      <c r="B15" s="182" t="n"/>
      <c r="C15" s="182">
        <f>342299/2</f>
        <v/>
      </c>
      <c r="D15" s="182" t="n"/>
      <c r="E15" s="182" t="n"/>
      <c r="F15" s="182" t="n"/>
      <c r="G15" s="182" t="n"/>
      <c r="H15" s="182" t="n"/>
      <c r="I15" s="182" t="n"/>
      <c r="J15" s="182" t="n"/>
      <c r="K15" s="182" t="n"/>
      <c r="L15" s="182" t="n"/>
      <c r="M15" s="182" t="n"/>
      <c r="N15" s="182">
        <f>SUM(B15:M15)</f>
        <v/>
      </c>
    </row>
    <row r="16" ht="26.4" customHeight="1" s="1">
      <c r="A16" s="261" t="inlineStr">
        <is>
          <t xml:space="preserve">Vestwoods 2nd Container second payment 50% 60 days </t>
        </is>
      </c>
      <c r="B16" s="182" t="n"/>
      <c r="C16" s="182" t="n"/>
      <c r="D16" s="182" t="n"/>
      <c r="E16" s="182">
        <f>342299/2</f>
        <v/>
      </c>
      <c r="F16" s="182" t="n"/>
      <c r="G16" s="182" t="n"/>
      <c r="H16" s="182" t="n"/>
      <c r="I16" s="182" t="n"/>
      <c r="J16" s="182" t="n"/>
      <c r="K16" s="182" t="n"/>
      <c r="L16" s="182" t="n"/>
      <c r="M16" s="182" t="n"/>
      <c r="N16" s="182">
        <f>SUM(B16:M16)</f>
        <v/>
      </c>
    </row>
    <row r="17">
      <c r="A17" s="261" t="inlineStr">
        <is>
          <t>Vestwoods 3rd -4th (full downpayment)</t>
        </is>
      </c>
      <c r="B17" s="182" t="n"/>
      <c r="C17" s="182" t="n"/>
      <c r="D17" s="182" t="n"/>
      <c r="E17" s="182" t="n"/>
      <c r="F17" s="182" t="n">
        <v>342299</v>
      </c>
      <c r="G17" s="182" t="n">
        <v>342299</v>
      </c>
      <c r="H17" s="182" t="n"/>
      <c r="I17" s="182" t="n"/>
      <c r="J17" s="182" t="n"/>
      <c r="K17" s="182" t="n"/>
      <c r="L17" s="182" t="n"/>
      <c r="M17" s="182" t="n"/>
      <c r="N17" s="182">
        <f>SUM(B17:M17)</f>
        <v/>
      </c>
    </row>
    <row r="18">
      <c r="A18" s="261" t="inlineStr">
        <is>
          <t>Vestwoods 5th - 13th Container 10% downpayment</t>
        </is>
      </c>
      <c r="B18" s="182" t="n"/>
      <c r="C18" s="182" t="n"/>
      <c r="D18" s="182" t="n"/>
      <c r="E18" s="182" t="n"/>
      <c r="F18" s="182" t="n"/>
      <c r="G18" s="182" t="n"/>
      <c r="H18" s="182" t="n"/>
      <c r="I18" s="182">
        <f>35000*2</f>
        <v/>
      </c>
      <c r="J18" s="182" t="n">
        <v>35000</v>
      </c>
      <c r="K18" s="182">
        <f>35000*3</f>
        <v/>
      </c>
      <c r="L18" s="182" t="n"/>
      <c r="M18" s="182">
        <f>35000*2</f>
        <v/>
      </c>
      <c r="N18" s="182">
        <f>SUM(B18:M18)</f>
        <v/>
      </c>
    </row>
    <row r="19" ht="26.4" customHeight="1" s="1">
      <c r="A19" s="261" t="inlineStr">
        <is>
          <t>Vestwoods 5th - 13th Container Balance Payments (90% at 3-month credit)</t>
        </is>
      </c>
      <c r="B19" s="182" t="n"/>
      <c r="C19" s="182" t="n"/>
      <c r="D19" s="182" t="n"/>
      <c r="E19" s="182" t="n"/>
      <c r="F19" s="182" t="n"/>
      <c r="G19" s="182" t="n"/>
      <c r="H19" s="182" t="n"/>
      <c r="I19" s="182" t="n"/>
      <c r="J19" s="182" t="n"/>
      <c r="K19" s="182" t="n">
        <v>315000</v>
      </c>
      <c r="L19" s="182">
        <f>315000*2</f>
        <v/>
      </c>
      <c r="M19" s="182">
        <f>315000*3</f>
        <v/>
      </c>
      <c r="N19" s="182">
        <f>SUM(B19:M19)</f>
        <v/>
      </c>
    </row>
    <row r="20">
      <c r="A20" s="261" t="inlineStr">
        <is>
          <t>Al Reem Plastics Credit Payment</t>
        </is>
      </c>
      <c r="B20" s="182" t="n"/>
      <c r="C20" s="182" t="n"/>
      <c r="D20" s="182">
        <f>43339*2</f>
        <v/>
      </c>
      <c r="E20" s="182" t="n"/>
      <c r="F20" s="182">
        <f>43339*2</f>
        <v/>
      </c>
      <c r="G20" s="182">
        <f>43339</f>
        <v/>
      </c>
      <c r="H20" s="182">
        <f>36201+43339</f>
        <v/>
      </c>
      <c r="J20" s="182">
        <f>36201</f>
        <v/>
      </c>
      <c r="K20" s="182">
        <f>G20*2</f>
        <v/>
      </c>
      <c r="L20" s="182">
        <f>36201</f>
        <v/>
      </c>
      <c r="M20" s="182">
        <f>L20</f>
        <v/>
      </c>
      <c r="N20" s="182">
        <f>SUM(B20:M20)</f>
        <v/>
      </c>
    </row>
    <row r="21" ht="26.4" customHeight="1" s="1">
      <c r="A21" s="242" t="inlineStr">
        <is>
          <t>One-Time Setup Costs (fit-out, deposits, licenses, demos)</t>
        </is>
      </c>
      <c r="B21" s="182" t="n">
        <v>50000</v>
      </c>
      <c r="C21" s="182" t="n"/>
      <c r="D21" s="182" t="n"/>
      <c r="E21" s="182" t="n"/>
      <c r="F21" s="182" t="n"/>
      <c r="G21" s="182" t="n"/>
      <c r="H21" s="182" t="n"/>
      <c r="I21" s="182" t="n"/>
      <c r="J21" s="182" t="n"/>
      <c r="K21" s="182" t="n"/>
      <c r="L21" s="182" t="n"/>
      <c r="M21" s="182" t="n"/>
      <c r="N21" s="182">
        <f>SUM(B21:M21)</f>
        <v/>
      </c>
    </row>
    <row r="22" ht="26.4" customFormat="1" customHeight="1" s="245">
      <c r="A22" s="242" t="inlineStr">
        <is>
          <t>Operating Expenses (salaries, commissions, rent, marketing, G&amp;A)</t>
        </is>
      </c>
      <c r="B22" s="182" t="n">
        <v>54420</v>
      </c>
      <c r="C22" s="182" t="n">
        <v>53610</v>
      </c>
      <c r="D22" s="182" t="n">
        <v>66654.3</v>
      </c>
      <c r="E22" s="182" t="n">
        <v>62830</v>
      </c>
      <c r="F22" s="182" t="n">
        <v>63330</v>
      </c>
      <c r="G22" s="182" t="n">
        <v>64410</v>
      </c>
      <c r="H22" s="182" t="n">
        <v>63810</v>
      </c>
      <c r="I22" s="182" t="n">
        <v>66716.5</v>
      </c>
      <c r="J22" s="182" t="n">
        <v>67510</v>
      </c>
      <c r="K22" s="182" t="n">
        <v>69310</v>
      </c>
      <c r="L22" s="182" t="n">
        <v>71610</v>
      </c>
      <c r="M22" s="182" t="n">
        <v>73610</v>
      </c>
      <c r="N22" s="182">
        <f>SUM(B22:M22)</f>
        <v/>
      </c>
    </row>
    <row r="23" ht="18" customHeight="1" s="1">
      <c r="A23" s="246" t="inlineStr">
        <is>
          <t>TOTAL CASH OUTFLOWS</t>
        </is>
      </c>
      <c r="B23" s="184" t="n">
        <v>154420</v>
      </c>
      <c r="C23" s="184" t="n">
        <v>224759.5</v>
      </c>
      <c r="D23" s="184" t="n">
        <v>153332.3</v>
      </c>
      <c r="E23" s="184" t="n">
        <v>233979.5</v>
      </c>
      <c r="F23" s="184" t="n">
        <v>492307</v>
      </c>
      <c r="G23" s="184" t="n">
        <v>450048</v>
      </c>
      <c r="H23" s="184" t="n">
        <v>143350</v>
      </c>
      <c r="I23" s="184" t="n">
        <v>136716.5</v>
      </c>
      <c r="J23" s="184" t="n">
        <v>138711</v>
      </c>
      <c r="K23" s="184" t="n">
        <v>575988</v>
      </c>
      <c r="L23" s="184" t="n">
        <v>737811</v>
      </c>
      <c r="M23" s="184" t="n">
        <v>1124811</v>
      </c>
      <c r="N23" s="184">
        <f>SUM(B23:M23)</f>
        <v/>
      </c>
    </row>
    <row r="24" ht="18" customHeight="1" s="1">
      <c r="A24" s="220" t="inlineStr">
        <is>
          <t>NET MONTHLY CASH FLOW</t>
        </is>
      </c>
      <c r="B24" s="248" t="n">
        <v>365580</v>
      </c>
      <c r="C24" s="247" t="n">
        <v>-164759.5</v>
      </c>
      <c r="D24" s="247" t="n">
        <v>-82814.3</v>
      </c>
      <c r="E24" s="247" t="n">
        <v>361020.5</v>
      </c>
      <c r="F24" s="247" t="n">
        <v>-362307</v>
      </c>
      <c r="G24" s="247" t="n">
        <v>-20673.5</v>
      </c>
      <c r="H24" s="248" t="n">
        <v>283580.5</v>
      </c>
      <c r="I24" s="248" t="n">
        <v>636471.5</v>
      </c>
      <c r="J24" s="248" t="n">
        <v>635150</v>
      </c>
      <c r="K24" s="248" t="n">
        <v>372761</v>
      </c>
      <c r="L24" s="248" t="n">
        <v>156050</v>
      </c>
      <c r="M24" s="247" t="n">
        <v>-158506</v>
      </c>
      <c r="N24" s="207">
        <f>SUM(B24:M24)</f>
        <v/>
      </c>
    </row>
    <row r="25">
      <c r="A25" s="220" t="inlineStr">
        <is>
          <t>CUMULATIVE CASH POSITION</t>
        </is>
      </c>
      <c r="B25" s="248" t="n">
        <v>365580</v>
      </c>
      <c r="C25" s="248" t="n">
        <v>200820.5</v>
      </c>
      <c r="D25" s="248" t="n">
        <v>118006.2</v>
      </c>
      <c r="E25" s="248" t="n">
        <v>479026.7</v>
      </c>
      <c r="F25" s="248" t="n">
        <v>116719.7</v>
      </c>
      <c r="G25" s="248" t="n">
        <v>96046.2</v>
      </c>
      <c r="H25" s="248" t="n">
        <v>379626.7</v>
      </c>
      <c r="I25" s="248" t="n">
        <v>1016098.2</v>
      </c>
      <c r="J25" s="248" t="n">
        <v>1651248.2</v>
      </c>
      <c r="K25" s="248" t="n">
        <v>2024009.2</v>
      </c>
      <c r="L25" s="248" t="n">
        <v>2180059.2</v>
      </c>
      <c r="M25" s="248" t="n">
        <v>2021553.2</v>
      </c>
      <c r="N25" s="178" t="n">
        <v>2021553.2</v>
      </c>
    </row>
    <row r="26"/>
    <row r="27" ht="19.95" customHeight="1" s="1">
      <c r="A27" s="236" t="inlineStr">
        <is>
          <t xml:space="preserve">  KEY CASH FLOW METRICS &amp; INVESTOR NOTES</t>
        </is>
      </c>
    </row>
    <row r="28">
      <c r="A28" s="249" t="inlineStr">
        <is>
          <t>Peak Cash Deficit (worst month)</t>
        </is>
      </c>
      <c r="B28" s="250" t="inlineStr">
        <is>
          <t>USD 903,954  — Jan-27 (excluding investor capital)</t>
        </is>
      </c>
      <c r="H28" s="251" t="inlineStr">
        <is>
          <t>Covered by the USD 1.0M raise; minimum cash USD 96,046 in Jan-27</t>
        </is>
      </c>
    </row>
    <row r="29" ht="26.4" customHeight="1" s="1">
      <c r="A29" s="252" t="inlineStr">
        <is>
          <t>Batches 6–7 Container Balances (due Y2M1–M2)</t>
        </is>
      </c>
      <c r="B29" s="253" t="inlineStr">
        <is>
          <t>3 × USD 315,000 = USD 945,000 due Aug–Oct 2027 (Y2 M1–M3)</t>
        </is>
      </c>
      <c r="H29" s="254" t="inlineStr">
        <is>
          <t>Plus the 9th 10% deposit (USD 35,000) and Al Reem payable (USD 158,571) — all covered by Y1 ending cash</t>
        </is>
      </c>
    </row>
    <row r="30">
      <c r="A30" s="249" t="inlineStr">
        <is>
          <t>Egypt M12 Revenue Collected Y2M1</t>
        </is>
      </c>
      <c r="B30" s="250" t="inlineStr">
        <is>
          <t>USD 500,000</t>
        </is>
      </c>
      <c r="H30" s="251" t="inlineStr">
        <is>
          <t>July 2027 Egypt sales collected August 2027 — first Year 2 cash inflow</t>
        </is>
      </c>
    </row>
    <row r="31">
      <c r="A31" s="252" t="inlineStr">
        <is>
          <t>Vestwoods Credit Benefit</t>
        </is>
      </c>
      <c r="B31" s="253" t="inlineStr">
        <is>
          <t>USD 3,024,000 deferred over 3 months</t>
        </is>
      </c>
      <c r="H31" s="254" t="inlineStr">
        <is>
          <t>90% balance deferred across 14 containers — dramatically reduces working capital need</t>
        </is>
      </c>
    </row>
    <row r="32">
      <c r="A32" s="249" t="inlineStr">
        <is>
          <t>Sudan Cash Flow Advantage</t>
        </is>
      </c>
      <c r="B32" s="250" t="inlineStr">
        <is>
          <t>50% collected before shipment = same-month cash receipt</t>
        </is>
      </c>
      <c r="H32" s="251" t="inlineStr">
        <is>
          <t>Sudan 50% advance payment improves NORCO net funding by ~USD 640K in Year 1</t>
        </is>
      </c>
    </row>
    <row r="33">
      <c r="A33" s="252" t="inlineStr">
        <is>
          <t>Required Initial Investment</t>
        </is>
      </c>
      <c r="B33" s="253" t="inlineStr">
        <is>
          <t>USD 1,000,000 core (500K + 500K)</t>
        </is>
      </c>
      <c r="H33" s="254" t="inlineStr">
        <is>
          <t>Covers the USD 903,954 peak deficit; optional USD 500K accelerator lifts buffer (ceiling 1.5M)</t>
        </is>
      </c>
    </row>
    <row r="34">
      <c r="A34" s="249" t="inlineStr">
        <is>
          <t>Year 1 Ending Cash Position</t>
        </is>
      </c>
      <c r="B34" s="250" t="inlineStr">
        <is>
          <t>USD 2,021,553</t>
        </is>
      </c>
      <c r="H34" s="251" t="inlineStr">
        <is>
          <t>Cash-flow positive from Feb-27 cumulative low; surplus funds Y2 container balances</t>
        </is>
      </c>
    </row>
    <row r="35" ht="26.4" customHeight="1" s="1">
      <c r="A35" s="255" t="inlineStr">
        <is>
          <t xml:space="preserve">  NOTE: Batches 6–7 container balances (USD 864,000 total) are due Year 2 Months 1–2 (Aug–Sep 2027). These are NOT included in Year 1 outflows above. They are fully covered by the Year 1 ending cash surplus plus Egypt July AR collections. No additional investor capital is required for these payments.</t>
        </is>
      </c>
    </row>
  </sheetData>
  <mergeCells count="20">
    <mergeCell ref="H28:N28"/>
    <mergeCell ref="B29:G29"/>
    <mergeCell ref="H33:N33"/>
    <mergeCell ref="A1:N1"/>
    <mergeCell ref="B34:G34"/>
    <mergeCell ref="B28:G28"/>
    <mergeCell ref="H30:N30"/>
    <mergeCell ref="H29:N29"/>
    <mergeCell ref="B30:G30"/>
    <mergeCell ref="B33:G33"/>
    <mergeCell ref="A27:N27"/>
    <mergeCell ref="H31:N31"/>
    <mergeCell ref="A2:N2"/>
    <mergeCell ref="B32:G32"/>
    <mergeCell ref="H34:N34"/>
    <mergeCell ref="A5:N5"/>
    <mergeCell ref="A35:N35"/>
    <mergeCell ref="B31:G31"/>
    <mergeCell ref="H32:N32"/>
    <mergeCell ref="A13:N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zoomScaleNormal="100" workbookViewId="0">
      <pane xSplit="1" ySplit="4" topLeftCell="B5" activePane="bottomRight" state="frozen"/>
      <selection activeCell="A21" sqref="A21:N21"/>
      <selection pane="topRight" activeCell="A21" sqref="A21:N21"/>
      <selection pane="bottomLeft" activeCell="A21" sqref="A21:N21"/>
      <selection pane="bottomRight" activeCell="B8" sqref="B8"/>
    </sheetView>
  </sheetViews>
  <sheetFormatPr baseColWidth="8" defaultRowHeight="13.8"/>
  <cols>
    <col width="38" customWidth="1" style="170" min="1" max="1"/>
    <col width="16" customWidth="1" style="170" min="2" max="7"/>
    <col width="8.88671875" customWidth="1" style="170" min="8" max="16384"/>
  </cols>
  <sheetData>
    <row r="1" ht="28.05" customHeight="1" s="1">
      <c r="A1" s="168" t="inlineStr">
        <is>
          <t>NORCO / Vestwoods Egypt — 5-Year Annual P&amp;L Summary (USD)</t>
        </is>
      </c>
    </row>
    <row r="2" ht="54.6" customHeight="1" s="1">
      <c r="A2" s="229" t="inlineStr">
        <is>
          <t>Period: August 2026 – July 2031  |  Vestwoods: Egypt containers: Y1=6, Y2=7, Y3=9, Y4=11, Y5=15  |  Sudan containers: Y1=4, Y2=5, Y3=6, Y4=8, Y5=10 |  Algeria containers: Y1=3, Y2=4, Y3=6, Y4=7, Y5=8 |  Libya containers: Y1=0, Y2=4, Y3=5, Y4=6, Y5=8
Al Reem Plastics: Egypt containers: Y1=10, Y2=20, Y3=30, Y4=30, Y5=40  |  Sudan containers: Y1=5, Y2=10, Y3=20, Y4=25, Y5=30 |  Nigeria containers: Y1=0, Y2=8, Y3=12, Y4=18, Y5=25</t>
        </is>
      </c>
    </row>
    <row r="3" ht="6" customHeight="1" s="1"/>
    <row r="4" ht="31.2" customHeight="1" s="1">
      <c r="A4" s="175" t="inlineStr">
        <is>
          <t>DESCRIPTION</t>
        </is>
      </c>
      <c r="B4" s="173" t="inlineStr">
        <is>
          <t>Year 1
(Aug26-Jul27)</t>
        </is>
      </c>
      <c r="C4" s="173" t="inlineStr">
        <is>
          <t>Year 2
(Aug27-Jul28)</t>
        </is>
      </c>
      <c r="D4" s="173" t="inlineStr">
        <is>
          <t>Year 3
(Aug28-Jul29)</t>
        </is>
      </c>
      <c r="E4" s="173" t="inlineStr">
        <is>
          <t>Year 4
(Aug29-Jul30)</t>
        </is>
      </c>
      <c r="F4" s="173" t="inlineStr">
        <is>
          <t>Year 5
(Aug30-Jul31)</t>
        </is>
      </c>
      <c r="G4" s="174" t="inlineStr">
        <is>
          <t>5-YEAR
TOTAL</t>
        </is>
      </c>
    </row>
    <row r="5" ht="19.95" customHeight="1" s="1">
      <c r="A5" s="175" t="inlineStr">
        <is>
          <t xml:space="preserve">  REVENUE</t>
        </is>
      </c>
    </row>
    <row r="6">
      <c r="A6" s="176" t="inlineStr">
        <is>
          <t>Egypt -  Vestwoods Sales</t>
        </is>
      </c>
      <c r="B6" s="182">
        <f>'Monthly P&amp;L Year 1'!N6</f>
        <v/>
      </c>
      <c r="C6" s="182">
        <f>B6*1.2</f>
        <v/>
      </c>
      <c r="D6" s="182">
        <f>C6*1.2</f>
        <v/>
      </c>
      <c r="E6" s="182">
        <f>D6*1.2</f>
        <v/>
      </c>
      <c r="F6" s="182">
        <f>E6*1.2</f>
        <v/>
      </c>
      <c r="G6" s="182">
        <f>SUM(B6:F6)</f>
        <v/>
      </c>
    </row>
    <row r="7">
      <c r="A7" s="176" t="inlineStr">
        <is>
          <t>Sudan - Vestwoods Sales</t>
        </is>
      </c>
      <c r="B7" s="182">
        <f>'Monthly P&amp;L Year 1'!N7</f>
        <v/>
      </c>
      <c r="C7" s="182">
        <f>B7*1.2</f>
        <v/>
      </c>
      <c r="D7" s="182">
        <f>C7*1.2</f>
        <v/>
      </c>
      <c r="E7" s="182">
        <f>D7*1.2</f>
        <v/>
      </c>
      <c r="F7" s="182">
        <f>E7*1.2</f>
        <v/>
      </c>
      <c r="G7" s="182">
        <f>SUM(B7:F7)</f>
        <v/>
      </c>
    </row>
    <row r="8">
      <c r="A8" s="176" t="inlineStr">
        <is>
          <t>Algeria - Vestwoods Sales</t>
        </is>
      </c>
      <c r="B8" s="182">
        <f>'Monthly P&amp;L Year 1'!N8</f>
        <v/>
      </c>
      <c r="C8" s="182">
        <f>B8*1.2</f>
        <v/>
      </c>
      <c r="D8" s="182">
        <f>C8*1.2</f>
        <v/>
      </c>
      <c r="E8" s="182">
        <f>D8*1.2</f>
        <v/>
      </c>
      <c r="F8" s="182">
        <f>E8*1.2</f>
        <v/>
      </c>
      <c r="G8" s="182">
        <f>SUM(B8:F8)</f>
        <v/>
      </c>
    </row>
    <row r="9">
      <c r="A9" s="176" t="inlineStr">
        <is>
          <t>Libya - Vestwoods Sales</t>
        </is>
      </c>
      <c r="B9" s="182" t="n">
        <v>0</v>
      </c>
      <c r="C9" s="182" t="n">
        <v>1576000</v>
      </c>
      <c r="D9" s="182">
        <f>C9*1.2</f>
        <v/>
      </c>
      <c r="E9" s="182">
        <f>D9*1.2</f>
        <v/>
      </c>
      <c r="F9" s="182">
        <f>E9*1.2</f>
        <v/>
      </c>
      <c r="G9" s="182">
        <f>SUM(B9:F9)</f>
        <v/>
      </c>
    </row>
    <row r="10">
      <c r="A10" s="176" t="inlineStr">
        <is>
          <t>Egypt - Al Reem Plastics Sales</t>
        </is>
      </c>
      <c r="B10" s="182">
        <f>'Monthly P&amp;L Year 1'!N9</f>
        <v/>
      </c>
      <c r="C10" s="182" t="n">
        <v>1153766</v>
      </c>
      <c r="D10" s="182" t="n">
        <v>1730649</v>
      </c>
      <c r="E10" s="182" t="n">
        <v>1730649</v>
      </c>
      <c r="F10" s="182" t="n">
        <v>2307531</v>
      </c>
      <c r="G10" s="182">
        <f>SUM(B10:F10)</f>
        <v/>
      </c>
    </row>
    <row r="11">
      <c r="A11" s="176" t="inlineStr">
        <is>
          <t>Sudan - Al Reem Plastics Sales</t>
        </is>
      </c>
      <c r="B11" s="182">
        <f>'Monthly P&amp;L Year 1'!N10</f>
        <v/>
      </c>
      <c r="C11" s="182">
        <f>52444*10</f>
        <v/>
      </c>
      <c r="D11" s="182">
        <f>52444*20</f>
        <v/>
      </c>
      <c r="E11" s="182">
        <f>52444*25</f>
        <v/>
      </c>
      <c r="F11" s="182">
        <f>52444*30</f>
        <v/>
      </c>
      <c r="G11" s="182">
        <f>SUM(B11:F11)</f>
        <v/>
      </c>
    </row>
    <row r="12">
      <c r="A12" s="176" t="inlineStr">
        <is>
          <t>Nigeria - Al Reem Plastics Sales</t>
        </is>
      </c>
      <c r="B12" s="182" t="n">
        <v>0</v>
      </c>
      <c r="C12" s="182">
        <f>52444*8</f>
        <v/>
      </c>
      <c r="D12" s="182">
        <f>52444*12</f>
        <v/>
      </c>
      <c r="E12" s="182">
        <f>52444*18</f>
        <v/>
      </c>
      <c r="F12" s="182">
        <f>52444*25</f>
        <v/>
      </c>
      <c r="G12" s="182">
        <f>SUM(B12:F12)</f>
        <v/>
      </c>
    </row>
    <row r="13" ht="18" customHeight="1" s="1">
      <c r="A13" s="179" t="inlineStr">
        <is>
          <t>TOTAL REVENUE</t>
        </is>
      </c>
      <c r="B13" s="180">
        <f>SUM(B6:B12)</f>
        <v/>
      </c>
      <c r="C13" s="180">
        <f>SUM(C6:C12)</f>
        <v/>
      </c>
      <c r="D13" s="180">
        <f>SUM(D6:D12)</f>
        <v/>
      </c>
      <c r="E13" s="180">
        <f>SUM(E6:E12)</f>
        <v/>
      </c>
      <c r="F13" s="180">
        <f>SUM(F6:F12)</f>
        <v/>
      </c>
      <c r="G13" s="180">
        <f>SUM(G6:G12)</f>
        <v/>
      </c>
    </row>
    <row r="14">
      <c r="A14" s="231" t="inlineStr">
        <is>
          <t>YoY Revenue Growth</t>
        </is>
      </c>
      <c r="B14" s="170" t="inlineStr">
        <is>
          <t>—</t>
        </is>
      </c>
      <c r="C14" s="232">
        <f>(C13-B13)/B13</f>
        <v/>
      </c>
      <c r="D14" s="232">
        <f>(D13-C13)/C13</f>
        <v/>
      </c>
      <c r="E14" s="232">
        <f>(E13-D13)/D13</f>
        <v/>
      </c>
      <c r="F14" s="232">
        <f>(F13-E13)/E13</f>
        <v/>
      </c>
    </row>
    <row r="15" ht="19.95" customHeight="1" s="1">
      <c r="A15" s="175" t="inlineStr">
        <is>
          <t xml:space="preserve">  COST OF GOODS SOLD</t>
        </is>
      </c>
    </row>
    <row r="16">
      <c r="A16" s="233" t="inlineStr">
        <is>
          <t>COGS % of Revenue</t>
        </is>
      </c>
      <c r="B16" s="188" t="n">
        <v>0.6588000000000001</v>
      </c>
      <c r="C16" s="188" t="n">
        <v>0.6588000000000001</v>
      </c>
      <c r="D16" s="188" t="n">
        <v>0.6588000000000001</v>
      </c>
      <c r="E16" s="188" t="n">
        <v>0.6588000000000001</v>
      </c>
      <c r="F16" s="188" t="n">
        <v>0.6588000000000001</v>
      </c>
    </row>
    <row r="17" ht="18" customHeight="1" s="1">
      <c r="A17" s="183" t="inlineStr">
        <is>
          <t>TOTAL COGS</t>
        </is>
      </c>
      <c r="B17" s="184" t="n">
        <v>4081465.8</v>
      </c>
      <c r="C17" s="184" t="n">
        <v>6654914.3</v>
      </c>
      <c r="D17" s="184" t="n">
        <v>8573248.6</v>
      </c>
      <c r="E17" s="184" t="n">
        <v>10218798.5</v>
      </c>
      <c r="F17" s="184" t="n">
        <v>12532048.1</v>
      </c>
      <c r="G17" s="184">
        <f>SUM(B17:F17)</f>
        <v/>
      </c>
    </row>
    <row r="18" ht="18" customHeight="1" s="1">
      <c r="A18" s="185" t="inlineStr">
        <is>
          <t>GROSS PROFIT</t>
        </is>
      </c>
      <c r="B18" s="186" t="n">
        <v>2114147.2</v>
      </c>
      <c r="C18" s="186" t="n">
        <v>3446655.7</v>
      </c>
      <c r="D18" s="186" t="n">
        <v>4440182.8</v>
      </c>
      <c r="E18" s="186" t="n">
        <v>5292431.8</v>
      </c>
      <c r="F18" s="186" t="n">
        <v>6490490</v>
      </c>
      <c r="G18" s="186">
        <f>SUM(B18:F18)</f>
        <v/>
      </c>
    </row>
    <row r="19">
      <c r="A19" s="187" t="inlineStr">
        <is>
          <t>Gross Margin %</t>
        </is>
      </c>
      <c r="B19" s="188" t="n">
        <v>0.341</v>
      </c>
      <c r="C19" s="188" t="n">
        <v>0.341</v>
      </c>
      <c r="D19" s="188" t="n">
        <v>0.341</v>
      </c>
      <c r="E19" s="188" t="n">
        <v>0.341</v>
      </c>
      <c r="F19" s="188" t="n">
        <v>0.341</v>
      </c>
      <c r="G19" s="234">
        <f>G18/G13</f>
        <v/>
      </c>
    </row>
    <row r="20" ht="19.95" customHeight="1" s="1">
      <c r="A20" s="175" t="inlineStr">
        <is>
          <t xml:space="preserve">  OPERATING EXPENSES</t>
        </is>
      </c>
    </row>
    <row r="21">
      <c r="A21" s="176" t="inlineStr">
        <is>
          <t>Personnel Costs (staff plan + 4% VW / 3% Al Reem Egypt commissions)</t>
        </is>
      </c>
      <c r="B21" s="182" t="n">
        <v>513320.8</v>
      </c>
      <c r="C21" s="182" t="n">
        <v>660328.2</v>
      </c>
      <c r="D21" s="182" t="n">
        <v>840589.7</v>
      </c>
      <c r="E21" s="182" t="n">
        <v>1025095.7</v>
      </c>
      <c r="F21" s="182" t="n">
        <v>1368137.4</v>
      </c>
      <c r="G21" s="182">
        <f>SUM(B21:F21)</f>
        <v/>
      </c>
    </row>
    <row r="22">
      <c r="A22" s="176" t="inlineStr">
        <is>
          <t>Rent &amp; Facilities</t>
        </is>
      </c>
      <c r="B22" s="182" t="n">
        <v>115200</v>
      </c>
      <c r="C22" s="182" t="n">
        <v>115200</v>
      </c>
      <c r="D22" s="182" t="n">
        <v>135000</v>
      </c>
      <c r="E22" s="182" t="n">
        <v>175000</v>
      </c>
      <c r="F22" s="182" t="n">
        <v>220000</v>
      </c>
      <c r="G22" s="182">
        <f>SUM(B22:F22)</f>
        <v/>
      </c>
    </row>
    <row r="23">
      <c r="A23" s="176" t="inlineStr">
        <is>
          <t>Marketing &amp; Promotions</t>
        </is>
      </c>
      <c r="B23" s="182" t="n">
        <v>59600</v>
      </c>
      <c r="C23" s="182" t="n">
        <v>85000</v>
      </c>
      <c r="D23" s="182" t="n">
        <v>120000</v>
      </c>
      <c r="E23" s="182" t="n">
        <v>165000</v>
      </c>
      <c r="F23" s="182" t="n">
        <v>215000</v>
      </c>
      <c r="G23" s="182">
        <f>SUM(B23:F23)</f>
        <v/>
      </c>
    </row>
    <row r="24">
      <c r="A24" s="176" t="inlineStr">
        <is>
          <t>Operations, G&amp;A, trade-finance interest &amp; other</t>
        </is>
      </c>
      <c r="B24" s="182" t="n">
        <v>78400</v>
      </c>
      <c r="C24" s="182" t="n">
        <v>105000</v>
      </c>
      <c r="D24" s="182" t="n">
        <v>130000</v>
      </c>
      <c r="E24" s="182" t="n">
        <v>165000</v>
      </c>
      <c r="F24" s="182" t="n">
        <v>205000</v>
      </c>
      <c r="G24" s="182">
        <f>SUM(B24:F24)</f>
        <v/>
      </c>
    </row>
    <row r="25">
      <c r="A25" s="176" t="inlineStr">
        <is>
          <t>Depreciation &amp; Amortisation</t>
        </is>
      </c>
      <c r="B25" s="182" t="n">
        <v>16800</v>
      </c>
      <c r="C25" s="182" t="n">
        <v>16800</v>
      </c>
      <c r="D25" s="182" t="n">
        <v>16800</v>
      </c>
      <c r="E25" s="182" t="n">
        <v>20000</v>
      </c>
      <c r="F25" s="182" t="n">
        <v>30000</v>
      </c>
      <c r="G25" s="182">
        <f>SUM(B25:F25)</f>
        <v/>
      </c>
    </row>
    <row r="26" ht="18" customHeight="1" s="1">
      <c r="A26" s="205" t="inlineStr">
        <is>
          <t>TOTAL OPERATING EXPENSES</t>
        </is>
      </c>
      <c r="B26" s="206" t="n">
        <v>783320.8</v>
      </c>
      <c r="C26" s="206" t="n">
        <v>982328.2</v>
      </c>
      <c r="D26" s="206" t="n">
        <v>1242389.7</v>
      </c>
      <c r="E26" s="206" t="n">
        <v>1550095.7</v>
      </c>
      <c r="F26" s="206" t="n">
        <v>2038137.4</v>
      </c>
      <c r="G26" s="206">
        <f>SUM(B26:F26)</f>
        <v/>
      </c>
    </row>
    <row r="27" ht="19.95" customHeight="1" s="1">
      <c r="A27" s="175" t="inlineStr">
        <is>
          <t xml:space="preserve">  PROFITABILITY</t>
        </is>
      </c>
    </row>
    <row r="28" ht="18" customHeight="1" s="1">
      <c r="A28" s="175" t="inlineStr">
        <is>
          <t>EBIT (Operating Profit)</t>
        </is>
      </c>
      <c r="B28" s="207" t="n">
        <v>1330826.4</v>
      </c>
      <c r="C28" s="207" t="n">
        <v>2464327.5</v>
      </c>
      <c r="D28" s="207" t="n">
        <v>3197793.1</v>
      </c>
      <c r="E28" s="207" t="n">
        <v>3742336.1</v>
      </c>
      <c r="F28" s="207" t="n">
        <v>4452352.6</v>
      </c>
      <c r="G28" s="207">
        <f>SUM(B28:F28)</f>
        <v/>
      </c>
    </row>
    <row r="29">
      <c r="A29" s="187" t="inlineStr">
        <is>
          <t>EBIT Margin %</t>
        </is>
      </c>
      <c r="B29" s="235" t="n">
        <v>0.215</v>
      </c>
      <c r="C29" s="235" t="n">
        <v>0.244</v>
      </c>
      <c r="D29" s="235" t="n">
        <v>0.246</v>
      </c>
      <c r="E29" s="235" t="n">
        <v>0.241</v>
      </c>
      <c r="F29" s="235" t="n">
        <v>0.234</v>
      </c>
    </row>
    <row r="30">
      <c r="A30" s="233" t="inlineStr">
        <is>
          <t>Corporate Income Tax (22.5%)</t>
        </is>
      </c>
      <c r="B30" s="182" t="n">
        <v>299435.9</v>
      </c>
      <c r="C30" s="182" t="n">
        <v>554473.7</v>
      </c>
      <c r="D30" s="182" t="n">
        <v>719503.4</v>
      </c>
      <c r="E30" s="182" t="n">
        <v>842025.6</v>
      </c>
      <c r="F30" s="182" t="n">
        <v>1001779.3</v>
      </c>
      <c r="G30" s="182">
        <f>SUM(B30:F30)</f>
        <v/>
      </c>
    </row>
    <row r="31" ht="18" customHeight="1" s="1">
      <c r="A31" s="175" t="inlineStr">
        <is>
          <t>NET PROFIT / (LOSS)</t>
        </is>
      </c>
      <c r="B31" s="207" t="n">
        <v>1031390.5</v>
      </c>
      <c r="C31" s="207" t="n">
        <v>1909853.8</v>
      </c>
      <c r="D31" s="207" t="n">
        <v>2478289.7</v>
      </c>
      <c r="E31" s="207" t="n">
        <v>2900310.5</v>
      </c>
      <c r="F31" s="207" t="n">
        <v>3450573.3</v>
      </c>
      <c r="G31" s="207">
        <f>SUM(B31:F31)</f>
        <v/>
      </c>
    </row>
    <row r="32">
      <c r="A32" s="187" t="inlineStr">
        <is>
          <t>Net Margin %</t>
        </is>
      </c>
      <c r="B32" s="210" t="n">
        <v>0.166</v>
      </c>
      <c r="C32" s="210" t="n">
        <v>0.189</v>
      </c>
      <c r="D32" s="210" t="n">
        <v>0.19</v>
      </c>
      <c r="E32" s="210" t="n">
        <v>0.187</v>
      </c>
      <c r="F32" s="210" t="n">
        <v>0.181</v>
      </c>
    </row>
    <row r="33">
      <c r="A33" s="214" t="inlineStr">
        <is>
          <t>Cumulative Net Profit</t>
        </is>
      </c>
      <c r="B33" s="217" t="n">
        <v>1031390.5</v>
      </c>
      <c r="C33" s="217" t="n">
        <v>2941244.3</v>
      </c>
      <c r="D33" s="217" t="n">
        <v>5419534</v>
      </c>
      <c r="E33" s="217" t="n">
        <v>8319844.5</v>
      </c>
      <c r="F33" s="217" t="n">
        <v>11770417.8</v>
      </c>
      <c r="G33" s="178" t="n">
        <v>11770417.8</v>
      </c>
    </row>
    <row r="34"/>
    <row r="35" ht="19.95" customHeight="1" s="1">
      <c r="A35" s="236" t="inlineStr">
        <is>
          <t xml:space="preserve">  KEY INVESTMENT METRICS</t>
        </is>
      </c>
    </row>
    <row r="36">
      <c r="A36" s="237" t="inlineStr">
        <is>
          <t>Total 5-Year Revenue</t>
        </is>
      </c>
      <c r="B36" s="238" t="inlineStr">
        <is>
          <t>USD 63.8M</t>
        </is>
      </c>
    </row>
    <row r="37">
      <c r="A37" s="237" t="inlineStr">
        <is>
          <t>Total 5-Year Gross Profit</t>
        </is>
      </c>
      <c r="B37" s="238" t="inlineStr">
        <is>
          <t>USD 21.8M</t>
        </is>
      </c>
    </row>
    <row r="38">
      <c r="A38" s="237" t="inlineStr">
        <is>
          <t>Total 5-Year Net Profit</t>
        </is>
      </c>
      <c r="B38" s="238" t="inlineStr">
        <is>
          <t>USD 11.8M</t>
        </is>
      </c>
    </row>
    <row r="39">
      <c r="A39" s="237" t="inlineStr">
        <is>
          <t>Year 1 Net Profit</t>
        </is>
      </c>
      <c r="B39" s="238" t="inlineStr">
        <is>
          <t>USD 1,031,390  (16.6% net margin)</t>
        </is>
      </c>
    </row>
    <row r="40">
      <c r="A40" s="237" t="inlineStr">
        <is>
          <t>Year 1 Required Investment (est.)</t>
        </is>
      </c>
      <c r="B40" s="238" t="inlineStr">
        <is>
          <t>USD 1,000,000 core (+ optional 500K accelerator, ceiling 1.5M)</t>
        </is>
      </c>
    </row>
    <row r="41">
      <c r="A41" s="237" t="inlineStr">
        <is>
          <t>Vestwoods Credit Terms</t>
        </is>
      </c>
      <c r="B41" s="238" t="inlineStr">
        <is>
          <t>10% deposit + 90% at 3-month credit after 6 months to 1 year of purchase</t>
        </is>
      </c>
    </row>
    <row r="42">
      <c r="A42" s="237" t="inlineStr">
        <is>
          <t>Egypt Customer Payment Terms</t>
        </is>
      </c>
      <c r="B42" s="238" t="inlineStr">
        <is>
          <t>30–60 days (accounts receivable)</t>
        </is>
      </c>
    </row>
    <row r="43">
      <c r="A43" s="237" t="inlineStr">
        <is>
          <t>Sudan Payment Terms</t>
        </is>
      </c>
      <c r="B43" s="238" t="inlineStr">
        <is>
          <t>50% upfront + 50% on delivery</t>
        </is>
      </c>
    </row>
    <row r="44">
      <c r="A44" s="237" t="inlineStr">
        <is>
          <t>Libya Payment Terms</t>
        </is>
      </c>
      <c r="B44" s="238" t="inlineStr">
        <is>
          <t>50% upfront + 50% on delivery</t>
        </is>
      </c>
    </row>
    <row r="45">
      <c r="A45" s="237" t="inlineStr">
        <is>
          <t>Algeria Payment Terms</t>
        </is>
      </c>
      <c r="B45" s="238" t="inlineStr">
        <is>
          <t>50% upfront + 50% on delivery or L/C</t>
        </is>
      </c>
    </row>
    <row r="46">
      <c r="A46" s="237" t="inlineStr">
        <is>
          <t>Monthly Break-Even (Operations)</t>
        </is>
      </c>
      <c r="B46" s="238" t="inlineStr">
        <is>
          <t>Month 6 — January 2027</t>
        </is>
      </c>
    </row>
    <row r="47">
      <c r="A47" s="237" t="inlineStr">
        <is>
          <t>Cumulative Break-Even</t>
        </is>
      </c>
      <c r="B47" s="238" t="inlineStr">
        <is>
          <t>Month 6 — January 2027</t>
        </is>
      </c>
    </row>
    <row r="48">
      <c r="A48" s="237" t="inlineStr">
        <is>
          <t>5-Year ROI on Investment</t>
        </is>
      </c>
      <c r="B48" s="239" t="n">
        <v>11.8</v>
      </c>
    </row>
    <row r="49">
      <c r="A49" s="237" t="inlineStr">
        <is>
          <t>Projected IRR (5-Year)</t>
        </is>
      </c>
      <c r="B49" s="238" t="inlineStr">
        <is>
          <t>48% dividends-only · 79% incl. terminal value (50% stake, USD 1.0M)</t>
        </is>
      </c>
    </row>
    <row r="50">
      <c r="A50" s="237" t="inlineStr">
        <is>
          <t>Staff at End of Year 5</t>
        </is>
      </c>
      <c r="B50" s="238" t="inlineStr">
        <is>
          <t>55 employees</t>
        </is>
      </c>
    </row>
    <row r="51">
      <c r="A51" s="237" t="inlineStr">
        <is>
          <t>Egypt Containers (Year 1 / Year 5)</t>
        </is>
      </c>
      <c r="B51" s="238" t="inlineStr">
        <is>
          <t>Vestwoods: 6 containers / 15 containers. Al Reem Plastics: 10 containers / 40 containers</t>
        </is>
      </c>
    </row>
    <row r="52">
      <c r="A52" s="237" t="inlineStr">
        <is>
          <t>Sudan Containers (Year 1 / Year 5)</t>
        </is>
      </c>
      <c r="B52" s="238" t="inlineStr">
        <is>
          <t>Vestwoods: 4 containers / 10 containers. Al Reem Plastics: 5 containers / 30 containers</t>
        </is>
      </c>
    </row>
    <row r="53">
      <c r="A53" s="237" t="inlineStr">
        <is>
          <t>Algeria Containers (Year 1 / Year 5)</t>
        </is>
      </c>
      <c r="B53" s="238" t="inlineStr">
        <is>
          <t>Vestwoods: 3 containers / 8 containers</t>
        </is>
      </c>
    </row>
    <row r="54">
      <c r="A54" s="237" t="inlineStr">
        <is>
          <t>Libya Containers (Year 2 / Year 5)</t>
        </is>
      </c>
      <c r="B54" s="238" t="inlineStr">
        <is>
          <t>Vestwoods: 4 containers / 8 containers</t>
        </is>
      </c>
    </row>
    <row r="55">
      <c r="A55" s="237" t="inlineStr">
        <is>
          <t>Nigeria Containers (Year 2 / Year 5)</t>
        </is>
      </c>
      <c r="B55" s="238" t="inlineStr">
        <is>
          <t>Al Reem Plastics: 8 containers / 25 containers</t>
        </is>
      </c>
    </row>
  </sheetData>
  <mergeCells count="27">
    <mergeCell ref="B42:G42"/>
    <mergeCell ref="A35:G35"/>
    <mergeCell ref="A20:G20"/>
    <mergeCell ref="B44:G44"/>
    <mergeCell ref="B53:G53"/>
    <mergeCell ref="B38:G38"/>
    <mergeCell ref="B37:G37"/>
    <mergeCell ref="B49:G49"/>
    <mergeCell ref="B40:G40"/>
    <mergeCell ref="A15:G15"/>
    <mergeCell ref="B55:G55"/>
    <mergeCell ref="B51:G51"/>
    <mergeCell ref="A1:G1"/>
    <mergeCell ref="B36:G36"/>
    <mergeCell ref="B45:G45"/>
    <mergeCell ref="B41:G41"/>
    <mergeCell ref="B50:G50"/>
    <mergeCell ref="B47:G47"/>
    <mergeCell ref="B54:G54"/>
    <mergeCell ref="B46:G46"/>
    <mergeCell ref="A27:G27"/>
    <mergeCell ref="A2:G2"/>
    <mergeCell ref="B43:G43"/>
    <mergeCell ref="B52:G52"/>
    <mergeCell ref="B48:G48"/>
    <mergeCell ref="B39:G39"/>
    <mergeCell ref="A5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8" sqref="A18"/>
    </sheetView>
  </sheetViews>
  <sheetFormatPr baseColWidth="8" defaultRowHeight="13.8"/>
  <cols>
    <col width="54.109375" customWidth="1" style="241" min="1" max="1"/>
    <col width="11" customWidth="1" style="170" min="2" max="6"/>
    <col width="8.88671875" customWidth="1" style="170" min="7" max="16384"/>
  </cols>
  <sheetData>
    <row r="1" ht="25.95" customHeight="1" s="1">
      <c r="A1" s="257" t="inlineStr">
        <is>
          <t>Five-Year Cash Flow (USD)</t>
        </is>
      </c>
    </row>
    <row r="2" ht="30.6" customHeight="1" s="1">
      <c r="A2" s="260" t="inlineStr">
        <is>
          <t>Y1 from the monthly sheet (100% prepayment). Y2+ under credit terms: 10% at PO + 90% at 3-month credit (~22.5% of Vestwoods supplier purchases outstanding at year end)</t>
        </is>
      </c>
    </row>
    <row r="3" ht="6" customHeight="1" s="1"/>
    <row r="4" ht="26.4" customHeight="1" s="1">
      <c r="A4" s="220" t="inlineStr">
        <is>
          <t>ITEM</t>
        </is>
      </c>
      <c r="B4" s="173" t="inlineStr">
        <is>
          <t>Year 1</t>
        </is>
      </c>
      <c r="C4" s="173" t="inlineStr">
        <is>
          <t>Year 2</t>
        </is>
      </c>
      <c r="D4" s="173" t="inlineStr">
        <is>
          <t>Year 3</t>
        </is>
      </c>
      <c r="E4" s="173" t="inlineStr">
        <is>
          <t>Year 4</t>
        </is>
      </c>
      <c r="F4" s="173" t="inlineStr">
        <is>
          <t>Year 5</t>
        </is>
      </c>
    </row>
    <row r="5">
      <c r="A5" s="242" t="inlineStr">
        <is>
          <t>Customer collections</t>
        </is>
      </c>
      <c r="B5" s="182" t="n">
        <v>5587787</v>
      </c>
      <c r="C5" s="182" t="n">
        <v>10449447.7</v>
      </c>
      <c r="D5" s="182" t="n">
        <v>12961441.7</v>
      </c>
      <c r="E5" s="182" t="n">
        <v>15448842.7</v>
      </c>
      <c r="F5" s="182" t="n">
        <v>18947673</v>
      </c>
    </row>
    <row r="6">
      <c r="A6" s="242" t="inlineStr">
        <is>
          <t>Investor capital (T1 + T2)</t>
        </is>
      </c>
      <c r="B6" s="182" t="n">
        <v>1000000</v>
      </c>
      <c r="C6" s="182" t="n">
        <v>0</v>
      </c>
      <c r="D6" s="182" t="n">
        <v>0</v>
      </c>
      <c r="E6" s="182" t="n">
        <v>0</v>
      </c>
      <c r="F6" s="182" t="n">
        <v>0</v>
      </c>
    </row>
    <row r="7" ht="26.4" customFormat="1" customHeight="1" s="256">
      <c r="A7" s="242" t="inlineStr">
        <is>
          <t>Supplier payments — current-year purchases (net of year-end credit)</t>
        </is>
      </c>
      <c r="B7" s="265" t="n">
        <v>-3738413</v>
      </c>
      <c r="C7" s="265" t="n">
        <v>-5550945.9</v>
      </c>
      <c r="D7" s="265" t="n">
        <v>-7248486.6</v>
      </c>
      <c r="E7" s="265" t="n">
        <v>-8629084.1</v>
      </c>
      <c r="F7" s="265" t="n">
        <v>-10624390.8</v>
      </c>
    </row>
    <row r="8" ht="26.4" customFormat="1" customHeight="1" s="256">
      <c r="A8" s="242" t="inlineStr">
        <is>
          <t>Supplier payments — prior-year balances (Vestwoods credit + Al Reem payable)</t>
        </is>
      </c>
      <c r="B8" s="265" t="n">
        <v>-0</v>
      </c>
      <c r="C8" s="265" t="n">
        <v>-1138571</v>
      </c>
      <c r="D8" s="265" t="n">
        <v>-1103968.4</v>
      </c>
      <c r="E8" s="265" t="n">
        <v>-1324762</v>
      </c>
      <c r="F8" s="265" t="n">
        <v>-1589714.4</v>
      </c>
    </row>
    <row r="9">
      <c r="A9" s="242" t="inlineStr">
        <is>
          <t>Operating expenses (cash; Y1 incl. USD 50,000 one-time setup)</t>
        </is>
      </c>
      <c r="B9" s="265" t="n">
        <v>-827820.8</v>
      </c>
      <c r="C9" s="265" t="n">
        <v>-965528.2</v>
      </c>
      <c r="D9" s="265" t="n">
        <v>-1225589.7</v>
      </c>
      <c r="E9" s="265" t="n">
        <v>-1530095.7</v>
      </c>
      <c r="F9" s="265" t="n">
        <v>-2008137.4</v>
      </c>
    </row>
    <row r="10">
      <c r="A10" s="242" t="inlineStr">
        <is>
          <t>Corporate tax paid (prior year, in arrears)</t>
        </is>
      </c>
      <c r="B10" s="265" t="n">
        <v>0</v>
      </c>
      <c r="C10" s="265" t="n">
        <v>-299435.9</v>
      </c>
      <c r="D10" s="265" t="n">
        <v>-554473.7</v>
      </c>
      <c r="E10" s="265" t="n">
        <v>-719503.4</v>
      </c>
      <c r="F10" s="265" t="n">
        <v>-842025.6</v>
      </c>
    </row>
    <row r="11">
      <c r="A11" s="242" t="inlineStr">
        <is>
          <t>Dividends paid (100% of prior-year net profit)</t>
        </is>
      </c>
      <c r="B11" s="265" t="n">
        <v>0</v>
      </c>
      <c r="C11" s="265" t="n">
        <v>-1031390.5</v>
      </c>
      <c r="D11" s="265" t="n">
        <v>-1909853.8</v>
      </c>
      <c r="E11" s="265" t="n">
        <v>-2478289.7</v>
      </c>
      <c r="F11" s="265" t="n">
        <v>-2900310.5</v>
      </c>
    </row>
    <row r="12">
      <c r="A12" s="242" t="inlineStr">
        <is>
          <t>Capex</t>
        </is>
      </c>
      <c r="B12" s="265" t="n">
        <v>0</v>
      </c>
      <c r="C12" s="265" t="n">
        <v>-25000</v>
      </c>
      <c r="D12" s="265" t="n">
        <v>-30000</v>
      </c>
      <c r="E12" s="265" t="n">
        <v>-35000</v>
      </c>
      <c r="F12" s="265" t="n">
        <v>-40000</v>
      </c>
    </row>
    <row r="13" ht="18" customHeight="1" s="1">
      <c r="A13" s="243" t="inlineStr">
        <is>
          <t>NET ANNUAL CASH FLOW</t>
        </is>
      </c>
      <c r="B13" s="186" t="n">
        <v>2021553.2</v>
      </c>
      <c r="C13" s="186" t="n">
        <v>1438576.2</v>
      </c>
      <c r="D13" s="186" t="n">
        <v>889069.5</v>
      </c>
      <c r="E13" s="186" t="n">
        <v>732107.8</v>
      </c>
      <c r="F13" s="186" t="n">
        <v>943094.3</v>
      </c>
    </row>
    <row r="14" ht="18" customHeight="1" s="1">
      <c r="A14" s="220" t="inlineStr">
        <is>
          <t>CLOSING CASH POSITION</t>
        </is>
      </c>
      <c r="B14" s="248" t="n">
        <v>2021553.2</v>
      </c>
      <c r="C14" s="248" t="n">
        <v>3460129.4</v>
      </c>
      <c r="D14" s="248" t="n">
        <v>4349198.9</v>
      </c>
      <c r="E14" s="248" t="n">
        <v>5081306.7</v>
      </c>
      <c r="F14" s="248" t="n">
        <v>6024401</v>
      </c>
    </row>
    <row r="15">
      <c r="A15" s="261" t="n"/>
      <c r="B15" s="182" t="n"/>
      <c r="C15" s="182" t="n"/>
      <c r="D15" s="182" t="n"/>
      <c r="E15" s="182" t="n"/>
      <c r="F15" s="182" t="n"/>
    </row>
    <row r="16" ht="13.2" customFormat="1" customHeight="1" s="112">
      <c r="A16" s="269" t="inlineStr">
        <is>
          <t>MEMO — year-end balances</t>
        </is>
      </c>
    </row>
    <row r="17" ht="26.4" customFormat="1" customHeight="1" s="112">
      <c r="A17" s="17" t="inlineStr">
        <is>
          <t>Trade receivables (Vestwoods Egypt, 1 month + Y1 export balances)</t>
        </is>
      </c>
      <c r="B17" s="113" t="n">
        <v>607826</v>
      </c>
      <c r="C17" s="113" t="n">
        <v>259948.3</v>
      </c>
      <c r="D17" s="113" t="n">
        <v>311938</v>
      </c>
      <c r="E17" s="113" t="n">
        <v>374325.5</v>
      </c>
      <c r="F17" s="113" t="n">
        <v>449190.7</v>
      </c>
    </row>
    <row r="18" ht="26.4" customFormat="1" customHeight="1" s="112">
      <c r="A18" s="17" t="inlineStr">
        <is>
          <t>Supplier balances payable next year (Vestwoods credit; Y1 also Al Reem)</t>
        </is>
      </c>
      <c r="B18" s="113" t="n">
        <v>1138571</v>
      </c>
      <c r="C18" s="113" t="n">
        <v>1103968.4</v>
      </c>
      <c r="D18" s="113" t="n">
        <v>1324762</v>
      </c>
      <c r="E18" s="113" t="n">
        <v>1589714.4</v>
      </c>
      <c r="F18" s="113" t="n">
        <v>1907657.3</v>
      </c>
    </row>
    <row r="19" ht="14.4" customHeight="1" s="1">
      <c r="A19" s="267" t="n"/>
      <c r="B19" s="268" t="n"/>
      <c r="C19" s="268" t="n"/>
      <c r="D19" s="268" t="n"/>
      <c r="E19" s="268" t="n"/>
      <c r="F19" s="268" t="n"/>
    </row>
    <row r="20" ht="28.8" customHeight="1" s="1">
      <c r="A20" s="261" t="inlineStr">
        <is>
          <t>• STRENGTH — the Month-13 credit switch (10% down + 90% at 3-month credit) releases ~90% of Vestwoods container capital: Year-2 cash jumps despite full dividend payout.</t>
        </is>
      </c>
    </row>
    <row r="21">
      <c r="A21" s="261" t="inlineStr">
        <is>
          <t>• STRENGTH — Al Reem's fast-turning houseware generates cash from the first quarter and smooths the battery cycle.</t>
        </is>
      </c>
    </row>
    <row r="22">
      <c r="A22" s="261" t="inlineStr">
        <is>
          <t>• STRENGTH — closing cash rises every year while distributing 100% of profits and paying rising taxes; no capital call after Tranche 2.</t>
        </is>
      </c>
    </row>
    <row r="23">
      <c r="A23" s="261" t="inlineStr">
        <is>
          <t>• RISK — Year 1 depends on the raise closing on time: peak self-funded deficit USD 903,954 (Jan-27); the USD 1.0M raise covers it with a USD 96K minimum cash position — the optional USD 0.5M accelerator lifts the buffer.</t>
        </is>
      </c>
    </row>
    <row r="24">
      <c r="A24" s="261" t="n"/>
      <c r="B24" s="182" t="n"/>
      <c r="C24" s="182" t="n"/>
      <c r="D24" s="182" t="n"/>
      <c r="E24" s="182" t="n"/>
      <c r="F24" s="182" t="n"/>
    </row>
    <row r="25">
      <c r="A25" s="261" t="n"/>
      <c r="B25" s="182" t="n"/>
      <c r="C25" s="182" t="n"/>
      <c r="D25" s="182" t="n"/>
      <c r="E25" s="182" t="n"/>
      <c r="F25" s="182" t="n"/>
    </row>
    <row r="26">
      <c r="A26" s="242" t="n"/>
      <c r="B26" s="182" t="n"/>
      <c r="C26" s="182" t="n"/>
      <c r="D26" s="182" t="n"/>
      <c r="E26" s="182" t="n"/>
      <c r="F26" s="182" t="n"/>
    </row>
    <row r="27" customFormat="1" s="245">
      <c r="A27" s="242" t="n"/>
      <c r="B27" s="182" t="n"/>
      <c r="C27" s="182" t="n"/>
      <c r="D27" s="182" t="n"/>
      <c r="E27" s="182" t="n"/>
      <c r="F27" s="182" t="n"/>
    </row>
  </sheetData>
  <mergeCells count="6">
    <mergeCell ref="A2:F2"/>
    <mergeCell ref="A1:F1"/>
    <mergeCell ref="A23:F23"/>
    <mergeCell ref="A22:F22"/>
    <mergeCell ref="A20:F20"/>
    <mergeCell ref="A21:F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selection activeCell="C8" sqref="C8"/>
    </sheetView>
  </sheetViews>
  <sheetFormatPr baseColWidth="8" defaultRowHeight="15"/>
  <cols>
    <col width="25.21875" bestFit="1" customWidth="1" style="115" min="1" max="1"/>
    <col width="11" customWidth="1" style="115" min="2" max="2"/>
    <col width="15" customWidth="1" style="115" min="3" max="3"/>
    <col width="9" customWidth="1" style="115" min="4" max="4"/>
    <col width="26" customWidth="1" style="115" min="5" max="5"/>
    <col width="44" customWidth="1" style="115" min="6" max="6"/>
    <col width="8.88671875" customWidth="1" style="115" min="7" max="16384"/>
  </cols>
  <sheetData>
    <row r="1">
      <c r="A1" s="23" t="inlineStr">
        <is>
          <t>Market Detail — Both Divisions</t>
        </is>
      </c>
    </row>
    <row r="2">
      <c r="A2" s="270" t="inlineStr">
        <is>
          <t>Container allocations, revenue, margins, terms and market actions per year</t>
        </is>
      </c>
    </row>
    <row r="4" ht="13.2" customFormat="1" customHeight="1" s="112">
      <c r="A4" s="13" t="inlineStr">
        <is>
          <t>Market / Year</t>
        </is>
      </c>
      <c r="B4" s="14" t="inlineStr">
        <is>
          <t>Containers</t>
        </is>
      </c>
      <c r="C4" s="14" t="inlineStr">
        <is>
          <t>Revenue (USD)</t>
        </is>
      </c>
      <c r="D4" s="14" t="inlineStr">
        <is>
          <t>GM %</t>
        </is>
      </c>
      <c r="E4" s="14" t="inlineStr">
        <is>
          <t>Payment terms</t>
        </is>
      </c>
      <c r="F4" s="14" t="inlineStr">
        <is>
          <t>Key market action</t>
        </is>
      </c>
    </row>
    <row r="5" ht="13.2" customFormat="1" customHeight="1" s="112">
      <c r="A5" s="12" t="inlineStr">
        <is>
          <t>VESTWOODS — EGYPT</t>
        </is>
      </c>
      <c r="B5" s="16" t="n"/>
      <c r="C5" s="16" t="n"/>
      <c r="D5" s="16" t="n"/>
      <c r="E5" s="16" t="n"/>
      <c r="F5" s="16" t="n"/>
    </row>
    <row r="6" ht="26.4" customFormat="1" customHeight="1" s="112">
      <c r="A6" s="271" t="inlineStr">
        <is>
          <t>Year 1</t>
        </is>
      </c>
      <c r="B6" s="272" t="n">
        <v>6</v>
      </c>
      <c r="C6" s="273" t="n">
        <v>2599686</v>
      </c>
      <c r="D6" s="274" t="n">
        <v>0.21</v>
      </c>
      <c r="E6" s="17" t="inlineStr">
        <is>
          <t>Retail + 30–60 day dealer terms</t>
        </is>
      </c>
      <c r="F6" s="17" t="inlineStr">
        <is>
          <t>Two showrooms live; dealer network build; I LOCK wholesale anchor</t>
        </is>
      </c>
    </row>
    <row r="7" ht="26.4" customFormat="1" customHeight="1" s="112">
      <c r="A7" s="271" t="inlineStr">
        <is>
          <t>Year 2</t>
        </is>
      </c>
      <c r="B7" s="272" t="n">
        <v>7</v>
      </c>
      <c r="C7" s="273">
        <f>'Annual P&amp;L Summary Y1-Y5'!C6</f>
        <v/>
      </c>
      <c r="D7" s="274" t="n">
        <v>0.21</v>
      </c>
      <c r="E7" s="17" t="inlineStr">
        <is>
          <t>Retail + 30–60 day dealer terms</t>
        </is>
      </c>
      <c r="F7" s="17" t="inlineStr">
        <is>
          <t>Alexandria coverage via dealers; first C&amp;I quotes</t>
        </is>
      </c>
    </row>
    <row r="8" ht="26.4" customFormat="1" customHeight="1" s="112">
      <c r="A8" s="271" t="inlineStr">
        <is>
          <t>Year 3</t>
        </is>
      </c>
      <c r="B8" s="272" t="n">
        <v>9</v>
      </c>
      <c r="C8" s="273">
        <f>'Annual P&amp;L Summary Y1-Y5'!D6</f>
        <v/>
      </c>
      <c r="D8" s="274" t="n">
        <v>0.21</v>
      </c>
      <c r="E8" s="17" t="inlineStr">
        <is>
          <t>Retail + 30–60 day dealer terms</t>
        </is>
      </c>
      <c r="F8" s="17" t="inlineStr">
        <is>
          <t>Alexandria branch opens; telecom accounts</t>
        </is>
      </c>
    </row>
    <row r="9" ht="26.4" customFormat="1" customHeight="1" s="112">
      <c r="A9" s="271" t="inlineStr">
        <is>
          <t>Year 4</t>
        </is>
      </c>
      <c r="B9" s="272" t="n">
        <v>11</v>
      </c>
      <c r="C9" s="273">
        <f>'Annual P&amp;L Summary Y1-Y5'!E6</f>
        <v/>
      </c>
      <c r="D9" s="274" t="n">
        <v>0.21</v>
      </c>
      <c r="E9" s="17" t="inlineStr">
        <is>
          <t>Retail + 30–60 day dealer terms</t>
        </is>
      </c>
      <c r="F9" s="17" t="inlineStr">
        <is>
          <t>B2G/tenders desk; C&amp;I pipeline</t>
        </is>
      </c>
    </row>
    <row r="10" ht="26.4" customFormat="1" customHeight="1" s="112">
      <c r="A10" s="271" t="inlineStr">
        <is>
          <t>Year 5</t>
        </is>
      </c>
      <c r="B10" s="272" t="n">
        <v>15</v>
      </c>
      <c r="C10" s="273">
        <f>'Annual P&amp;L Summary Y1-Y5'!F6</f>
        <v/>
      </c>
      <c r="D10" s="274" t="n">
        <v>0.21</v>
      </c>
      <c r="E10" s="17" t="inlineStr">
        <is>
          <t>Retail + 30–60 day dealer terms</t>
        </is>
      </c>
      <c r="F10" s="17" t="inlineStr">
        <is>
          <t>40+ dealer network; CKD assembly evaluation</t>
        </is>
      </c>
    </row>
    <row r="11" ht="13.2" customFormat="1" customHeight="1" s="112">
      <c r="A11" s="12" t="inlineStr">
        <is>
          <t>VESTWOODS — SUDAN</t>
        </is>
      </c>
      <c r="B11" s="16" t="n"/>
      <c r="C11" s="16" t="n"/>
      <c r="D11" s="16" t="n"/>
      <c r="E11" s="16" t="n"/>
      <c r="F11" s="16" t="n"/>
    </row>
    <row r="12" ht="26.4" customFormat="1" customHeight="1" s="112">
      <c r="A12" s="271" t="inlineStr">
        <is>
          <t>Year 1</t>
        </is>
      </c>
      <c r="B12" s="272" t="n">
        <v>4</v>
      </c>
      <c r="C12" s="273">
        <f>'Annual P&amp;L Summary Y1-Y5'!B7</f>
        <v/>
      </c>
      <c r="D12" s="274" t="n">
        <v>0.131</v>
      </c>
      <c r="E12" s="17" t="inlineStr">
        <is>
          <t>50% advance + 50% on delivery</t>
        </is>
      </c>
      <c r="F12" s="17" t="inlineStr">
        <is>
          <t>Committed buyer orders on arrival of first containers</t>
        </is>
      </c>
    </row>
    <row r="13" ht="26.4" customFormat="1" customHeight="1" s="112">
      <c r="A13" s="271" t="inlineStr">
        <is>
          <t>Year 2</t>
        </is>
      </c>
      <c r="B13" s="272" t="n">
        <v>5</v>
      </c>
      <c r="C13" s="273">
        <f>'Annual P&amp;L Summary Y1-Y5'!C7</f>
        <v/>
      </c>
      <c r="D13" s="274" t="n">
        <v>0.131</v>
      </c>
      <c r="E13" s="17" t="inlineStr">
        <is>
          <t>50% advance + 50% on delivery</t>
        </is>
      </c>
      <c r="F13" s="17" t="inlineStr">
        <is>
          <t>3 dealers; add Omdurman, El Obeid</t>
        </is>
      </c>
    </row>
    <row r="14" ht="26.4" customFormat="1" customHeight="1" s="112">
      <c r="A14" s="271" t="inlineStr">
        <is>
          <t>Year 3</t>
        </is>
      </c>
      <c r="B14" s="272" t="n">
        <v>6</v>
      </c>
      <c r="C14" s="273">
        <f>'Annual P&amp;L Summary Y1-Y5'!D7</f>
        <v/>
      </c>
      <c r="D14" s="274" t="n">
        <v>0.131</v>
      </c>
      <c r="E14" s="17" t="inlineStr">
        <is>
          <t>50% advance + 50% on delivery</t>
        </is>
      </c>
      <c r="F14" s="17" t="inlineStr">
        <is>
          <t>Telecom tower contracts</t>
        </is>
      </c>
    </row>
    <row r="15" ht="26.4" customFormat="1" customHeight="1" s="112">
      <c r="A15" s="271" t="inlineStr">
        <is>
          <t>Year 4</t>
        </is>
      </c>
      <c r="B15" s="272" t="n">
        <v>8</v>
      </c>
      <c r="C15" s="273">
        <f>'Annual P&amp;L Summary Y1-Y5'!E7</f>
        <v/>
      </c>
      <c r="D15" s="274" t="n">
        <v>0.131</v>
      </c>
      <c r="E15" s="17" t="inlineStr">
        <is>
          <t>50% advance + 50% on delivery</t>
        </is>
      </c>
      <c r="F15" s="17" t="inlineStr">
        <is>
          <t>C&amp;I projects; Khartoum tenders</t>
        </is>
      </c>
    </row>
    <row r="16" ht="26.4" customFormat="1" customHeight="1" s="112">
      <c r="A16" s="271" t="inlineStr">
        <is>
          <t>Year 5</t>
        </is>
      </c>
      <c r="B16" s="272" t="n">
        <v>10</v>
      </c>
      <c r="C16" s="273">
        <f>'Annual P&amp;L Summary Y1-Y5'!F7</f>
        <v/>
      </c>
      <c r="D16" s="274" t="n">
        <v>0.131</v>
      </c>
      <c r="E16" s="17" t="inlineStr">
        <is>
          <t>50% advance + 50% on delivery</t>
        </is>
      </c>
      <c r="F16" s="17" t="inlineStr">
        <is>
          <t>Standalone Sudan office consideration</t>
        </is>
      </c>
    </row>
    <row r="17" ht="13.2" customFormat="1" customHeight="1" s="112">
      <c r="A17" s="12" t="inlineStr">
        <is>
          <t>VESTWOODS — ALGERIA</t>
        </is>
      </c>
      <c r="B17" s="16" t="n"/>
      <c r="C17" s="16" t="n"/>
      <c r="D17" s="16" t="n"/>
      <c r="E17" s="16" t="n"/>
      <c r="F17" s="16" t="n"/>
    </row>
    <row r="18" ht="26.4" customFormat="1" customHeight="1" s="112">
      <c r="A18" s="271" t="inlineStr">
        <is>
          <t>Year 1</t>
        </is>
      </c>
      <c r="B18" s="272" t="n">
        <v>3</v>
      </c>
      <c r="C18" s="273">
        <f>'Annual P&amp;L Summary Y1-Y5'!B8</f>
        <v/>
      </c>
      <c r="D18" s="274" t="n">
        <v>0.131</v>
      </c>
      <c r="E18" s="17" t="inlineStr">
        <is>
          <t>100% LC before shipment</t>
        </is>
      </c>
      <c r="F18" s="17" t="inlineStr">
        <is>
          <t>First LC orders under negotiated agency (FOB Jebel Ali)</t>
        </is>
      </c>
    </row>
    <row r="19" ht="13.2" customFormat="1" customHeight="1" s="112">
      <c r="A19" s="271" t="inlineStr">
        <is>
          <t>Year 2</t>
        </is>
      </c>
      <c r="B19" s="272" t="n">
        <v>4</v>
      </c>
      <c r="C19" s="273">
        <f>'Annual P&amp;L Summary Y1-Y5'!C8</f>
        <v/>
      </c>
      <c r="D19" s="274" t="n">
        <v>0.131</v>
      </c>
      <c r="E19" s="17" t="inlineStr">
        <is>
          <t>100% LC before shipment</t>
        </is>
      </c>
      <c r="F19" s="17" t="inlineStr">
        <is>
          <t>Agency formalised; dealer sub-network</t>
        </is>
      </c>
    </row>
    <row r="20" ht="13.2" customFormat="1" customHeight="1" s="112">
      <c r="A20" s="271" t="inlineStr">
        <is>
          <t>Year 3</t>
        </is>
      </c>
      <c r="B20" s="272" t="n">
        <v>6</v>
      </c>
      <c r="C20" s="273">
        <f>'Annual P&amp;L Summary Y1-Y5'!D8</f>
        <v/>
      </c>
      <c r="D20" s="274" t="n">
        <v>0.131</v>
      </c>
      <c r="E20" s="17" t="inlineStr">
        <is>
          <t>100% LC before shipment</t>
        </is>
      </c>
      <c r="F20" s="17" t="inlineStr">
        <is>
          <t>Solar programme alignment</t>
        </is>
      </c>
    </row>
    <row r="21" ht="13.2" customFormat="1" customHeight="1" s="112">
      <c r="A21" s="271" t="inlineStr">
        <is>
          <t>Year 4</t>
        </is>
      </c>
      <c r="B21" s="272" t="n">
        <v>7</v>
      </c>
      <c r="C21" s="273">
        <f>'Annual P&amp;L Summary Y1-Y5'!E8</f>
        <v/>
      </c>
      <c r="D21" s="274" t="n">
        <v>0.131</v>
      </c>
      <c r="E21" s="17" t="inlineStr">
        <is>
          <t>100% LC before shipment</t>
        </is>
      </c>
      <c r="F21" s="17" t="inlineStr">
        <is>
          <t>C&amp;I entries; coverage expansion</t>
        </is>
      </c>
    </row>
    <row r="22" ht="13.2" customFormat="1" customHeight="1" s="112">
      <c r="A22" s="271" t="inlineStr">
        <is>
          <t>Year 5</t>
        </is>
      </c>
      <c r="B22" s="272" t="n">
        <v>8</v>
      </c>
      <c r="C22" s="273">
        <f>'Annual P&amp;L Summary Y1-Y5'!F8</f>
        <v/>
      </c>
      <c r="D22" s="274" t="n">
        <v>0.131</v>
      </c>
      <c r="E22" s="17" t="inlineStr">
        <is>
          <t>100% LC before shipment</t>
        </is>
      </c>
      <c r="F22" s="17" t="inlineStr">
        <is>
          <t>Scale; assess in-country JV</t>
        </is>
      </c>
    </row>
    <row r="23" ht="13.2" customFormat="1" customHeight="1" s="112">
      <c r="A23" s="12" t="inlineStr">
        <is>
          <t>VESTWOODS — LIBYA</t>
        </is>
      </c>
      <c r="B23" s="16" t="n"/>
      <c r="C23" s="16" t="n"/>
      <c r="D23" s="16" t="n"/>
      <c r="E23" s="16" t="n"/>
      <c r="F23" s="16" t="n"/>
    </row>
    <row r="24" ht="13.2" customFormat="1" customHeight="1" s="112">
      <c r="A24" s="271" t="inlineStr">
        <is>
          <t>Year 1</t>
        </is>
      </c>
      <c r="B24" s="272" t="inlineStr">
        <is>
          <t>—</t>
        </is>
      </c>
      <c r="C24" s="273" t="n">
        <v>0</v>
      </c>
      <c r="D24" s="274" t="n">
        <v>0</v>
      </c>
      <c r="E24" s="17" t="inlineStr">
        <is>
          <t>Advance / confirmed LC</t>
        </is>
      </c>
      <c r="F24" s="17" t="inlineStr">
        <is>
          <t>—</t>
        </is>
      </c>
    </row>
    <row r="25" ht="13.2" customFormat="1" customHeight="1" s="112">
      <c r="A25" s="271" t="inlineStr">
        <is>
          <t>Year 2</t>
        </is>
      </c>
      <c r="B25" s="272" t="n">
        <v>4</v>
      </c>
      <c r="C25" s="273">
        <f>'Annual P&amp;L Summary Y1-Y5'!C9</f>
        <v/>
      </c>
      <c r="D25" s="274" t="n">
        <v>0.131</v>
      </c>
      <c r="E25" s="17" t="inlineStr">
        <is>
          <t>Advance / confirmed LC</t>
        </is>
      </c>
      <c r="F25" s="17" t="inlineStr">
        <is>
          <t>Sign Tripoli + Benghazi distributors</t>
        </is>
      </c>
    </row>
    <row r="26" ht="13.2" customFormat="1" customHeight="1" s="112">
      <c r="A26" s="271" t="inlineStr">
        <is>
          <t>Year 3</t>
        </is>
      </c>
      <c r="B26" s="272" t="n">
        <v>5</v>
      </c>
      <c r="C26" s="273">
        <f>'Annual P&amp;L Summary Y1-Y5'!D9</f>
        <v/>
      </c>
      <c r="D26" s="274" t="n">
        <v>0.131</v>
      </c>
      <c r="E26" s="17" t="inlineStr">
        <is>
          <t>Advance / confirmed LC</t>
        </is>
      </c>
      <c r="F26" s="17" t="inlineStr">
        <is>
          <t>Residential solar in outage districts</t>
        </is>
      </c>
    </row>
    <row r="27" ht="13.2" customFormat="1" customHeight="1" s="112">
      <c r="A27" s="271" t="inlineStr">
        <is>
          <t>Year 4</t>
        </is>
      </c>
      <c r="B27" s="272" t="n">
        <v>6</v>
      </c>
      <c r="C27" s="273">
        <f>'Annual P&amp;L Summary Y1-Y5'!E9</f>
        <v/>
      </c>
      <c r="D27" s="274" t="n">
        <v>0.131</v>
      </c>
      <c r="E27" s="17" t="inlineStr">
        <is>
          <t>Advance / confirmed LC</t>
        </is>
      </c>
      <c r="F27" s="17" t="inlineStr">
        <is>
          <t>C&amp;I backup; NGO/health supply</t>
        </is>
      </c>
    </row>
    <row r="28" ht="13.2" customFormat="1" customHeight="1" s="112">
      <c r="A28" s="271" t="inlineStr">
        <is>
          <t>Year 5</t>
        </is>
      </c>
      <c r="B28" s="272" t="n">
        <v>8</v>
      </c>
      <c r="C28" s="273">
        <f>'Annual P&amp;L Summary Y1-Y5'!F9</f>
        <v/>
      </c>
      <c r="D28" s="274" t="n">
        <v>0.131</v>
      </c>
      <c r="E28" s="17" t="inlineStr">
        <is>
          <t>Advance / confirmed LC</t>
        </is>
      </c>
      <c r="F28" s="17" t="inlineStr">
        <is>
          <t>Secondary-city coverage</t>
        </is>
      </c>
    </row>
    <row r="29" ht="13.2" customFormat="1" customHeight="1" s="112">
      <c r="A29" s="12" t="inlineStr">
        <is>
          <t>AL REEM PLASTICS — EGYPT</t>
        </is>
      </c>
      <c r="B29" s="16" t="n"/>
      <c r="C29" s="16" t="n"/>
      <c r="D29" s="16" t="n"/>
      <c r="E29" s="16" t="n"/>
      <c r="F29" s="16" t="n"/>
    </row>
    <row r="30" ht="26.4" customFormat="1" customHeight="1" s="112">
      <c r="A30" s="271" t="inlineStr">
        <is>
          <t>Year 1</t>
        </is>
      </c>
      <c r="B30" s="272" t="n">
        <v>10</v>
      </c>
      <c r="C30" s="273">
        <f>'Annual P&amp;L Summary Y1-Y5'!B10</f>
        <v/>
      </c>
      <c r="D30" s="274" t="n">
        <v>0.253</v>
      </c>
      <c r="E30" s="17" t="inlineStr">
        <is>
          <t>Retail + wholesale 30–45 days</t>
        </is>
      </c>
      <c r="F30" s="17" t="inlineStr">
        <is>
          <t>Launch through both showrooms + wholesale to retailers</t>
        </is>
      </c>
    </row>
    <row r="31" ht="13.2" customFormat="1" customHeight="1" s="112">
      <c r="A31" s="271" t="inlineStr">
        <is>
          <t>Year 2</t>
        </is>
      </c>
      <c r="B31" s="272" t="n">
        <v>20</v>
      </c>
      <c r="C31" s="273">
        <f>'Annual P&amp;L Summary Y1-Y5'!C10</f>
        <v/>
      </c>
      <c r="D31" s="274" t="n">
        <v>0.253</v>
      </c>
      <c r="E31" s="17" t="inlineStr">
        <is>
          <t>Retail + wholesale 30–45 days</t>
        </is>
      </c>
      <c r="F31" s="17" t="inlineStr">
        <is>
          <t>Hypermarket listings (Carrefour-class)</t>
        </is>
      </c>
    </row>
    <row r="32" ht="13.2" customFormat="1" customHeight="1" s="112">
      <c r="A32" s="271" t="inlineStr">
        <is>
          <t>Year 3</t>
        </is>
      </c>
      <c r="B32" s="272" t="n">
        <v>30</v>
      </c>
      <c r="C32" s="273">
        <f>'Annual P&amp;L Summary Y1-Y5'!D10</f>
        <v/>
      </c>
      <c r="D32" s="274" t="n">
        <v>0.253</v>
      </c>
      <c r="E32" s="17" t="inlineStr">
        <is>
          <t>Retail + wholesale 30–45 days</t>
        </is>
      </c>
      <c r="F32" s="17" t="inlineStr">
        <is>
          <t>Online channel + Alexandria dealers</t>
        </is>
      </c>
    </row>
    <row r="33" ht="13.2" customFormat="1" customHeight="1" s="112">
      <c r="A33" s="271" t="inlineStr">
        <is>
          <t>Year 4</t>
        </is>
      </c>
      <c r="B33" s="272" t="n">
        <v>30</v>
      </c>
      <c r="C33" s="273">
        <f>'Annual P&amp;L Summary Y1-Y5'!E10</f>
        <v/>
      </c>
      <c r="D33" s="274" t="n">
        <v>0.253</v>
      </c>
      <c r="E33" s="17" t="inlineStr">
        <is>
          <t>Retail + wholesale 30–45 days</t>
        </is>
      </c>
      <c r="F33" s="17" t="inlineStr">
        <is>
          <t>Private-label conversations</t>
        </is>
      </c>
    </row>
    <row r="34" ht="13.2" customFormat="1" customHeight="1" s="112">
      <c r="A34" s="271" t="inlineStr">
        <is>
          <t>Year 5</t>
        </is>
      </c>
      <c r="B34" s="272" t="n">
        <v>40</v>
      </c>
      <c r="C34" s="273">
        <f>'Annual P&amp;L Summary Y1-Y5'!F10</f>
        <v/>
      </c>
      <c r="D34" s="274" t="n">
        <v>0.253</v>
      </c>
      <c r="E34" s="17" t="inlineStr">
        <is>
          <t>Retail + wholesale 30–45 days</t>
        </is>
      </c>
      <c r="F34" s="17" t="inlineStr">
        <is>
          <t>Nationwide wholesale coverage</t>
        </is>
      </c>
    </row>
    <row r="35" ht="13.2" customFormat="1" customHeight="1" s="112">
      <c r="A35" s="12" t="inlineStr">
        <is>
          <t>AL REEM PLASTICS — SUDAN</t>
        </is>
      </c>
      <c r="B35" s="16" t="n"/>
      <c r="C35" s="16" t="n"/>
      <c r="D35" s="16" t="n"/>
      <c r="E35" s="16" t="n"/>
      <c r="F35" s="16" t="n"/>
    </row>
    <row r="36" ht="26.4" customFormat="1" customHeight="1" s="112">
      <c r="A36" s="271" t="inlineStr">
        <is>
          <t>Year 1</t>
        </is>
      </c>
      <c r="B36" s="272" t="n">
        <v>5</v>
      </c>
      <c r="C36" s="273">
        <f>'Annual P&amp;L Summary Y1-Y5'!B11</f>
        <v/>
      </c>
      <c r="D36" s="274" t="n">
        <v>0.2</v>
      </c>
      <c r="E36" s="17" t="inlineStr">
        <is>
          <t>50% advance + 50% on delivery</t>
        </is>
      </c>
      <c r="F36" s="17" t="inlineStr">
        <is>
          <t>Same sub-distributor channel as Vestwoods</t>
        </is>
      </c>
    </row>
    <row r="37" ht="26.4" customFormat="1" customHeight="1" s="112">
      <c r="A37" s="271" t="inlineStr">
        <is>
          <t>Year 2</t>
        </is>
      </c>
      <c r="B37" s="272" t="n">
        <v>10</v>
      </c>
      <c r="C37" s="273">
        <f>'Annual P&amp;L Summary Y1-Y5'!C11</f>
        <v/>
      </c>
      <c r="D37" s="274" t="n">
        <v>0.2</v>
      </c>
      <c r="E37" s="17" t="inlineStr">
        <is>
          <t>50% advance + 50% on delivery</t>
        </is>
      </c>
      <c r="F37" s="17" t="inlineStr">
        <is>
          <t>Khartoum + Port Sudan dealers</t>
        </is>
      </c>
    </row>
    <row r="38" ht="26.4" customFormat="1" customHeight="1" s="112">
      <c r="A38" s="271" t="inlineStr">
        <is>
          <t>Year 3</t>
        </is>
      </c>
      <c r="B38" s="272" t="n">
        <v>20</v>
      </c>
      <c r="C38" s="273">
        <f>'Annual P&amp;L Summary Y1-Y5'!D11</f>
        <v/>
      </c>
      <c r="D38" s="274" t="n">
        <v>0.2</v>
      </c>
      <c r="E38" s="17" t="inlineStr">
        <is>
          <t>50% advance + 50% on delivery</t>
        </is>
      </c>
      <c r="F38" s="17" t="inlineStr">
        <is>
          <t>Range extension to 100+ SKUs</t>
        </is>
      </c>
    </row>
    <row r="39" ht="26.4" customFormat="1" customHeight="1" s="112">
      <c r="A39" s="271" t="inlineStr">
        <is>
          <t>Year 4</t>
        </is>
      </c>
      <c r="B39" s="272" t="n">
        <v>25</v>
      </c>
      <c r="C39" s="273">
        <f>'Annual P&amp;L Summary Y1-Y5'!E11</f>
        <v/>
      </c>
      <c r="D39" s="274" t="n">
        <v>0.2</v>
      </c>
      <c r="E39" s="17" t="inlineStr">
        <is>
          <t>50% advance + 50% on delivery</t>
        </is>
      </c>
      <c r="F39" s="17" t="inlineStr">
        <is>
          <t>Second distributor</t>
        </is>
      </c>
    </row>
    <row r="40" ht="26.4" customFormat="1" customHeight="1" s="112">
      <c r="A40" s="271" t="inlineStr">
        <is>
          <t>Year 5</t>
        </is>
      </c>
      <c r="B40" s="272" t="n">
        <v>30</v>
      </c>
      <c r="C40" s="273">
        <f>'Annual P&amp;L Summary Y1-Y5'!F11</f>
        <v/>
      </c>
      <c r="D40" s="274" t="n">
        <v>0.2</v>
      </c>
      <c r="E40" s="17" t="inlineStr">
        <is>
          <t>50% advance + 50% on delivery</t>
        </is>
      </c>
      <c r="F40" s="17" t="inlineStr">
        <is>
          <t>Scale with market recovery</t>
        </is>
      </c>
    </row>
    <row r="41" ht="13.2" customFormat="1" customHeight="1" s="112">
      <c r="A41" s="12" t="inlineStr">
        <is>
          <t>AL REEM PLASTICS — Nigeria</t>
        </is>
      </c>
      <c r="B41" s="16" t="n"/>
      <c r="C41" s="16" t="n"/>
      <c r="D41" s="16" t="n"/>
      <c r="E41" s="16" t="n"/>
      <c r="F41" s="16" t="n"/>
    </row>
    <row r="42" ht="26.4" customFormat="1" customHeight="1" s="112">
      <c r="A42" s="271" t="inlineStr">
        <is>
          <t>Year 1</t>
        </is>
      </c>
      <c r="B42" s="272" t="n">
        <v>0</v>
      </c>
      <c r="C42" s="273" t="n">
        <v>0</v>
      </c>
      <c r="D42" s="274" t="n">
        <v>0.2</v>
      </c>
      <c r="E42" s="17" t="inlineStr">
        <is>
          <t>50% advance + 50% on delivery</t>
        </is>
      </c>
      <c r="F42" s="17" t="n"/>
    </row>
    <row r="43" ht="26.4" customFormat="1" customHeight="1" s="112">
      <c r="A43" s="271" t="inlineStr">
        <is>
          <t>Year 2</t>
        </is>
      </c>
      <c r="B43" s="272" t="n">
        <v>8</v>
      </c>
      <c r="C43" s="273">
        <f>'Annual P&amp;L Summary Y1-Y5'!C12</f>
        <v/>
      </c>
      <c r="D43" s="274" t="n">
        <v>0.2</v>
      </c>
      <c r="E43" s="17" t="inlineStr">
        <is>
          <t>50% advance + 50% on delivery</t>
        </is>
      </c>
      <c r="F43" s="17" t="n"/>
    </row>
    <row r="44" ht="26.4" customFormat="1" customHeight="1" s="112">
      <c r="A44" s="271" t="inlineStr">
        <is>
          <t>Year 3</t>
        </is>
      </c>
      <c r="B44" s="272" t="n">
        <v>12</v>
      </c>
      <c r="C44" s="273">
        <f>'Annual P&amp;L Summary Y1-Y5'!D12</f>
        <v/>
      </c>
      <c r="D44" s="274" t="n">
        <v>0.2</v>
      </c>
      <c r="E44" s="17" t="inlineStr">
        <is>
          <t>50% advance + 50% on delivery</t>
        </is>
      </c>
      <c r="F44" s="17" t="n"/>
    </row>
    <row r="45" ht="26.4" customFormat="1" customHeight="1" s="112">
      <c r="A45" s="271" t="inlineStr">
        <is>
          <t>Year 4</t>
        </is>
      </c>
      <c r="B45" s="272" t="n">
        <v>18</v>
      </c>
      <c r="C45" s="273">
        <f>'Annual P&amp;L Summary Y1-Y5'!E12</f>
        <v/>
      </c>
      <c r="D45" s="274" t="n">
        <v>0.2</v>
      </c>
      <c r="E45" s="17" t="inlineStr">
        <is>
          <t>50% advance + 50% on delivery</t>
        </is>
      </c>
      <c r="F45" s="17" t="n"/>
    </row>
    <row r="46" ht="26.4" customFormat="1" customHeight="1" s="112">
      <c r="A46" s="271" t="inlineStr">
        <is>
          <t>Year 5</t>
        </is>
      </c>
      <c r="B46" s="272" t="n">
        <v>25</v>
      </c>
      <c r="C46" s="273">
        <f>'Annual P&amp;L Summary Y1-Y5'!F12</f>
        <v/>
      </c>
      <c r="D46" s="274" t="n">
        <v>0.2</v>
      </c>
      <c r="E46" s="17" t="inlineStr">
        <is>
          <t>50% advance + 50% on delivery</t>
        </is>
      </c>
      <c r="F46" s="17" t="n"/>
    </row>
    <row r="47" ht="13.2" customFormat="1" customHeight="1" s="112">
      <c r="A47" s="114" t="inlineStr">
        <is>
          <t>Sudan cash terms mean revenue is collected before or at shipment; Algeria LC-before-shipment carries zero receivable risk.</t>
        </is>
      </c>
    </row>
  </sheetData>
  <mergeCells count="3">
    <mergeCell ref="A2:F2"/>
    <mergeCell ref="A1:F1"/>
    <mergeCell ref="A47:F4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38" customWidth="1" style="1" min="1" max="1"/>
    <col width="13.5" customWidth="1" style="1" min="2" max="2"/>
    <col width="13.5" customWidth="1" style="1" min="3" max="3"/>
    <col width="13.5" customWidth="1" style="1" min="4" max="4"/>
    <col width="13.5" customWidth="1" style="1" min="5" max="5"/>
    <col width="13.5" customWidth="1" style="1" min="6" max="6"/>
    <col width="13.5" customWidth="1" style="1" min="7" max="7"/>
  </cols>
  <sheetData>
    <row r="1">
      <c r="A1" s="276" t="inlineStr">
        <is>
          <t>Funding Structure &amp; Investor Returns</t>
        </is>
      </c>
    </row>
    <row r="2" ht="28" customHeight="1" s="1">
      <c r="A2" s="277" t="inlineStr">
        <is>
          <t>USD 1,000,000 core for 50% of NORCO Egypt (T1 500K at close + T2 500K at Month 4) | optional 500K accelerator, ceiling USD 1.5M | dividends 100% payout in arrears | terminal at 5× Year-5 net profit</t>
        </is>
      </c>
    </row>
    <row r="4">
      <c r="A4" s="278" t="inlineStr">
        <is>
          <t>A.  TRANCHE STRUCTURE</t>
        </is>
      </c>
    </row>
    <row r="5">
      <c r="A5" s="279" t="inlineStr">
        <is>
          <t>Tranche</t>
        </is>
      </c>
      <c r="B5" s="280" t="inlineStr">
        <is>
          <t>Amount (USD)</t>
        </is>
      </c>
      <c r="C5" s="280" t="inlineStr">
        <is>
          <t>Timing</t>
        </is>
      </c>
      <c r="D5" s="280" t="inlineStr">
        <is>
          <t>Gate / purpose</t>
        </is>
      </c>
      <c r="E5" s="281" t="inlineStr"/>
      <c r="F5" s="281" t="inlineStr"/>
      <c r="G5" s="281" t="inlineStr"/>
    </row>
    <row r="6" ht="26" customHeight="1" s="1">
      <c r="A6" s="282" t="inlineStr">
        <is>
          <t>Tranche 1 — Launch</t>
        </is>
      </c>
      <c r="B6" s="283" t="n">
        <v>500000</v>
      </c>
      <c r="C6" s="284" t="inlineStr">
        <is>
          <t>Month 1 (Aug-26, at close)</t>
        </is>
      </c>
      <c r="D6" s="284" t="inlineStr">
        <is>
          <t>First Vestwoods containers (Sinosure credit), first Al Reem containers, setup, opex runway</t>
        </is>
      </c>
    </row>
    <row r="7" ht="26" customHeight="1" s="1">
      <c r="A7" s="282" t="inlineStr">
        <is>
          <t>Tranche 2 — Scale</t>
        </is>
      </c>
      <c r="B7" s="283" t="n">
        <v>500000</v>
      </c>
      <c r="C7" s="284" t="inlineStr">
        <is>
          <t>Month 4 (Nov-26), milestone-gated</t>
        </is>
      </c>
      <c r="D7" s="284" t="inlineStr">
        <is>
          <t>Released on ≥3 containers sold through + Sudan advances received; funds container waves 4–13</t>
        </is>
      </c>
    </row>
    <row r="8" ht="26" customHeight="1" s="1">
      <c r="A8" s="282" t="inlineStr">
        <is>
          <t>Optional accelerator</t>
        </is>
      </c>
      <c r="B8" s="283" t="n">
        <v>500000</v>
      </c>
      <c r="C8" s="284" t="inlineStr">
        <is>
          <t>Months 6–12, by mutual agreement</t>
        </is>
      </c>
      <c r="D8" s="284" t="inlineStr">
        <is>
          <t>Buffer / faster Al Reem &amp; Libya ramp; brings total to the USD 1.5M ceiling</t>
        </is>
      </c>
    </row>
    <row r="9">
      <c r="A9" s="285" t="inlineStr">
        <is>
          <t>Core total (T1+T2)</t>
        </is>
      </c>
      <c r="B9" s="286">
        <f>SUM(B6:B7)</f>
        <v/>
      </c>
      <c r="C9" s="287" t="inlineStr"/>
      <c r="D9" s="287" t="inlineStr"/>
      <c r="E9" s="287" t="inlineStr"/>
      <c r="F9" s="287" t="inlineStr"/>
      <c r="G9" s="287" t="inlineStr"/>
    </row>
    <row r="11">
      <c r="A11" s="278" t="inlineStr">
        <is>
          <t>B.  SIZING</t>
        </is>
      </c>
    </row>
    <row r="12" ht="26" customHeight="1" s="1">
      <c r="A12" s="288" t="inlineStr">
        <is>
          <t>USD 1,000,000 core (as modelled)</t>
        </is>
      </c>
      <c r="B12" s="284" t="inlineStr">
        <is>
          <t>Covers the USD 903,954 peak self-funded deficit (Jan-27) with a USD 96,046 minimum cash position; Year-1 ending cash USD 2,021,553</t>
        </is>
      </c>
    </row>
    <row r="13" ht="26" customHeight="1" s="1">
      <c r="A13" s="288" t="inlineStr">
        <is>
          <t>USD 1,500,000 with accelerator</t>
        </is>
      </c>
      <c r="B13" s="284" t="inlineStr">
        <is>
          <t>Adds ~USD 500K standing buffer and pulls Al Reem and Libya volumes forward</t>
        </is>
      </c>
    </row>
    <row r="15">
      <c r="A15" s="278" t="inlineStr">
        <is>
          <t>C.  INVESTOR CASH FLOW — 50% equity of NORCO Egypt for USD 1.0M</t>
        </is>
      </c>
    </row>
    <row r="16">
      <c r="A16" s="279" t="inlineStr">
        <is>
          <t>Flow (USD)</t>
        </is>
      </c>
      <c r="B16" s="280" t="inlineStr">
        <is>
          <t>Y0 (close)</t>
        </is>
      </c>
      <c r="C16" s="280" t="inlineStr">
        <is>
          <t>Year 1</t>
        </is>
      </c>
      <c r="D16" s="280" t="inlineStr">
        <is>
          <t>Year 2</t>
        </is>
      </c>
      <c r="E16" s="280" t="inlineStr">
        <is>
          <t>Year 3</t>
        </is>
      </c>
      <c r="F16" s="280" t="inlineStr">
        <is>
          <t>Year 4</t>
        </is>
      </c>
      <c r="G16" s="280" t="inlineStr">
        <is>
          <t>Year 5</t>
        </is>
      </c>
    </row>
    <row r="17">
      <c r="A17" s="284" t="inlineStr">
        <is>
          <t>Capital invested</t>
        </is>
      </c>
      <c r="B17" s="283" t="n">
        <v>-1000000</v>
      </c>
      <c r="C17" s="283" t="n">
        <v>0</v>
      </c>
      <c r="D17" s="283" t="n">
        <v>0</v>
      </c>
      <c r="E17" s="283" t="n">
        <v>0</v>
      </c>
      <c r="F17" s="283" t="n">
        <v>0</v>
      </c>
      <c r="G17" s="283" t="n">
        <v>0</v>
      </c>
    </row>
    <row r="18">
      <c r="A18" s="284" t="inlineStr">
        <is>
          <t>Dividends (50% of prior-year net profit)</t>
        </is>
      </c>
      <c r="B18" s="283" t="n">
        <v>0</v>
      </c>
      <c r="C18" s="283" t="n">
        <v>0</v>
      </c>
      <c r="D18" s="283" t="n">
        <v>515695.2</v>
      </c>
      <c r="E18" s="283" t="n">
        <v>954926.9</v>
      </c>
      <c r="F18" s="283" t="n">
        <v>1239144.9</v>
      </c>
      <c r="G18" s="283" t="n">
        <v>1450155.2</v>
      </c>
    </row>
    <row r="19">
      <c r="A19" s="284" t="inlineStr">
        <is>
          <t>Terminal value (50% × 5 × Y5 net profit)</t>
        </is>
      </c>
      <c r="B19" s="283" t="n">
        <v>0</v>
      </c>
      <c r="C19" s="283" t="n">
        <v>0</v>
      </c>
      <c r="D19" s="283" t="n">
        <v>0</v>
      </c>
      <c r="E19" s="283" t="n">
        <v>0</v>
      </c>
      <c r="F19" s="283" t="n">
        <v>0</v>
      </c>
      <c r="G19" s="283" t="n">
        <v>8626433.199999999</v>
      </c>
    </row>
    <row r="20">
      <c r="A20" s="285" t="inlineStr">
        <is>
          <t>Net investor cash flow</t>
        </is>
      </c>
      <c r="B20" s="286">
        <f>SUM(B17:B19)</f>
        <v/>
      </c>
      <c r="C20" s="286">
        <f>SUM(C17:C19)</f>
        <v/>
      </c>
      <c r="D20" s="286">
        <f>SUM(D17:D19)</f>
        <v/>
      </c>
      <c r="E20" s="286">
        <f>SUM(E17:E19)</f>
        <v/>
      </c>
      <c r="F20" s="286">
        <f>SUM(F17:F19)</f>
        <v/>
      </c>
      <c r="G20" s="286">
        <f>SUM(G17:G19)</f>
        <v/>
      </c>
    </row>
    <row r="21">
      <c r="A21" s="289" t="inlineStr">
        <is>
          <t>IRR — incl. terminal value</t>
        </is>
      </c>
      <c r="B21" s="290">
        <f>IRR(B20:G20)</f>
        <v/>
      </c>
      <c r="D21" s="289" t="inlineStr">
        <is>
          <t>MOIC</t>
        </is>
      </c>
      <c r="E21" s="291">
        <f>SUM(C20:G20)/-B20</f>
        <v/>
      </c>
    </row>
    <row r="22">
      <c r="A22" s="289" t="inlineStr">
        <is>
          <t>IRR — dividends only (excl. terminal)</t>
        </is>
      </c>
      <c r="B22" s="290" t="n">
        <v>0.4767590289403854</v>
      </c>
      <c r="D22" s="289" t="inlineStr">
        <is>
          <t>MOIC</t>
        </is>
      </c>
      <c r="E22" s="291" t="n">
        <v>4.1599222</v>
      </c>
    </row>
    <row r="24">
      <c r="A24" s="278" t="inlineStr">
        <is>
          <t>D.  INVESTOR PROTECTIONS</t>
        </is>
      </c>
    </row>
    <row r="25" ht="22" customHeight="1" s="1">
      <c r="A25" s="277" t="inlineStr">
        <is>
          <t>• Tranche 2 released only against verified Month-4 milestones (≥3 containers sold through + Sudan advances received).</t>
        </is>
      </c>
    </row>
    <row r="26" ht="22" customHeight="1" s="1">
      <c r="A26" s="277" t="inlineStr">
        <is>
          <t>• Quarterly management accounts; monthly cash &amp; inventory reporting across both divisions; USD-denominated books.</t>
        </is>
      </c>
    </row>
    <row r="27" ht="22" customHeight="1" s="1">
      <c r="A27" s="277" t="inlineStr">
        <is>
          <t>• Egypt customers on max 60-day terms; Sudan cash-before-shipment; Algeria LC only; Libya advance/LC.</t>
        </is>
      </c>
    </row>
    <row r="28" ht="22" customHeight="1" s="1">
      <c r="A28" s="277" t="inlineStr">
        <is>
          <t>• Exclusive Vestwoods agency and the Al Reem (Angola) affiliated supply agreement held within the group; assignable as security.</t>
        </is>
      </c>
    </row>
    <row r="29" ht="22" customHeight="1" s="1">
      <c r="A29" s="277" t="inlineStr">
        <is>
          <t>• Founder pre-investment of USD 14,517 already deployed; board seat and reserved matters for the investor.</t>
        </is>
      </c>
    </row>
  </sheetData>
  <mergeCells count="12">
    <mergeCell ref="A1:G1"/>
    <mergeCell ref="A27:G27"/>
    <mergeCell ref="D8:G8"/>
    <mergeCell ref="D6:G6"/>
    <mergeCell ref="D7:G7"/>
    <mergeCell ref="A26:G26"/>
    <mergeCell ref="A2:G2"/>
    <mergeCell ref="B12:G12"/>
    <mergeCell ref="B13:G13"/>
    <mergeCell ref="A25:G25"/>
    <mergeCell ref="A29:G29"/>
    <mergeCell ref="A28:G2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C6" sqref="C6"/>
    </sheetView>
  </sheetViews>
  <sheetFormatPr baseColWidth="8" defaultRowHeight="13.8"/>
  <cols>
    <col width="44" customWidth="1" style="10" min="1" max="1"/>
    <col width="16" customWidth="1" style="10" min="2" max="2"/>
    <col width="64" customWidth="1" style="10" min="3" max="3"/>
    <col width="8.88671875" customWidth="1" style="10" min="4" max="16384"/>
  </cols>
  <sheetData>
    <row r="1">
      <c r="A1" s="3" t="inlineStr">
        <is>
          <t>Shareholding — NORCO Egypt (the investment vehicle)</t>
        </is>
      </c>
    </row>
    <row r="2">
      <c r="A2" s="19" t="inlineStr">
        <is>
          <t>Investor subscribes into the Egypt operating company; NORCO UAE anchors supply relationships as a 20% shareholder</t>
        </is>
      </c>
    </row>
    <row r="3"/>
    <row r="4">
      <c r="A4" s="20" t="inlineStr">
        <is>
          <t>Shareholder</t>
        </is>
      </c>
      <c r="B4" s="21" t="inlineStr">
        <is>
          <t>NORCO Egypt %</t>
        </is>
      </c>
      <c r="C4" s="21" t="inlineStr">
        <is>
          <t>Notes</t>
        </is>
      </c>
    </row>
    <row r="5" ht="24" customFormat="1" customHeight="1" s="6">
      <c r="A5" s="85" t="inlineStr">
        <is>
          <t>Investor (USD 1.0M capital)</t>
        </is>
      </c>
      <c r="B5" s="81" t="n">
        <v>0.5</v>
      </c>
      <c r="C5" s="82" t="inlineStr">
        <is>
          <t>Cash for 50% of NORCO Egypt; board seat; reserved matters</t>
        </is>
      </c>
    </row>
    <row r="6" ht="27.6" customFormat="1" customHeight="1" s="6">
      <c r="A6" s="85" t="inlineStr">
        <is>
          <t>NORCO General Trading L.L.C. (UAE)</t>
        </is>
      </c>
      <c r="B6" s="81" t="n">
        <v>0.2</v>
      </c>
      <c r="C6" s="82" t="inlineStr">
        <is>
          <t>Holds the Vestwoods exclusive agency &amp; Al Reem (Angola) supply relationship</t>
        </is>
      </c>
    </row>
    <row r="7" ht="27.6" customFormat="1" customHeight="1" s="6">
      <c r="A7" s="85" t="inlineStr">
        <is>
          <t>Fadi Jannan — Chairman &amp; Founder</t>
        </is>
      </c>
      <c r="B7" s="81" t="n">
        <v>0.2</v>
      </c>
      <c r="C7" s="82" t="inlineStr">
        <is>
          <t>Executive lead; combined founder-side interest 40% (20% direct + 20% via NORCO UAE)</t>
        </is>
      </c>
    </row>
    <row r="8" ht="24" customFormat="1" customHeight="1" s="6">
      <c r="A8" s="85" t="inlineStr">
        <is>
          <t>Partner A</t>
        </is>
      </c>
      <c r="B8" s="81" t="n">
        <v>0.05</v>
      </c>
      <c r="C8" s="82" t="inlineStr">
        <is>
          <t>Existing partner</t>
        </is>
      </c>
    </row>
    <row r="9" ht="24" customFormat="1" customHeight="1" s="6">
      <c r="A9" s="85" t="inlineStr">
        <is>
          <t>Partner B</t>
        </is>
      </c>
      <c r="B9" s="81" t="n">
        <v>0.05</v>
      </c>
      <c r="C9" s="82" t="inlineStr">
        <is>
          <t>Existing partner</t>
        </is>
      </c>
    </row>
    <row r="10">
      <c r="A10" s="22" t="inlineStr">
        <is>
          <t>TOTAL</t>
        </is>
      </c>
      <c r="B10" s="79">
        <f>SUM(B4:B8)</f>
        <v/>
      </c>
      <c r="C10" s="18" t="n"/>
    </row>
    <row r="12" ht="25.95" customHeight="1" s="1">
      <c r="A12" s="76" t="inlineStr">
        <is>
          <t>• Founder-side combined interest = 40%: 20% held directly by the Chairman + 20% held via NORCO General Trading L.L.C. (UAE), which he controls (80%).</t>
        </is>
      </c>
    </row>
    <row r="13" ht="25.95" customHeight="1" s="1">
      <c r="A13" s="76" t="inlineStr">
        <is>
          <t>• NORCO UAE contributes the exclusive Vestwoods agency and the Al Reem (Angola) supply relationship to the Egypt company under long-term agreements.</t>
        </is>
      </c>
    </row>
    <row r="14" ht="25.95" customHeight="1" s="1">
      <c r="A14" s="76" t="inlineStr">
        <is>
          <t>• Dividend policy: 100% of net profit distributed annually in arrears — investor receives 50% of every distribution.</t>
        </is>
      </c>
    </row>
  </sheetData>
  <mergeCells count="5">
    <mergeCell ref="A13:C13"/>
    <mergeCell ref="A1:C1"/>
    <mergeCell ref="A14:C14"/>
    <mergeCell ref="A12:C12"/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6" sqref="A6"/>
    </sheetView>
  </sheetViews>
  <sheetFormatPr baseColWidth="8" defaultRowHeight="13.8"/>
  <cols>
    <col width="40" customWidth="1" style="10" min="1" max="1"/>
    <col width="18" customWidth="1" style="10" min="2" max="2"/>
    <col width="12" customWidth="1" style="10" min="3" max="8"/>
    <col width="8.88671875" customWidth="1" style="10" min="9" max="16384"/>
  </cols>
  <sheetData>
    <row r="1">
      <c r="A1" s="3" t="inlineStr">
        <is>
          <t>Investor Dashboard</t>
        </is>
      </c>
    </row>
    <row r="2">
      <c r="A2" s="11" t="inlineStr">
        <is>
          <t>Headline metrics — NORCO Egypt, both divisions</t>
        </is>
      </c>
    </row>
    <row r="3"/>
    <row r="4">
      <c r="A4" s="102" t="inlineStr">
        <is>
          <t>Total 5-year revenue (USD)</t>
        </is>
      </c>
      <c r="B4" s="103" t="n">
        <v>63844382.8</v>
      </c>
    </row>
    <row r="5">
      <c r="A5" s="102" t="inlineStr">
        <is>
          <t>Total 5-year gross profit (USD)</t>
        </is>
      </c>
      <c r="B5" s="103" t="n">
        <v>21783907.5</v>
      </c>
    </row>
    <row r="6">
      <c r="A6" s="102" t="inlineStr">
        <is>
          <t>Total 5-year net profit (USD)</t>
        </is>
      </c>
      <c r="B6" s="103" t="n">
        <v>11770417.8</v>
      </c>
    </row>
    <row r="7">
      <c r="A7" s="102" t="inlineStr">
        <is>
          <t>Year 1 revenue (USD)</t>
        </is>
      </c>
      <c r="B7" s="103" t="n">
        <v>6195613</v>
      </c>
    </row>
    <row r="8">
      <c r="A8" s="102" t="inlineStr">
        <is>
          <t>Year 1 net profit (USD)</t>
        </is>
      </c>
      <c r="B8" s="103" t="n">
        <v>1031390.5</v>
      </c>
    </row>
    <row r="9">
      <c r="A9" s="102" t="inlineStr">
        <is>
          <t>Year 5 net profit (USD)</t>
        </is>
      </c>
      <c r="B9" s="103" t="n">
        <v>3450573.3</v>
      </c>
    </row>
    <row r="10">
      <c r="A10" s="102" t="inlineStr">
        <is>
          <t>Operating break-even</t>
        </is>
      </c>
      <c r="B10" s="104" t="inlineStr">
        <is>
          <t>Month 6 (Jan-27)</t>
        </is>
      </c>
    </row>
    <row r="11">
      <c r="A11" s="102" t="inlineStr">
        <is>
          <t>Cumulative break-even</t>
        </is>
      </c>
      <c r="B11" s="104" t="inlineStr">
        <is>
          <t>Month 6 (Jan-27)</t>
        </is>
      </c>
    </row>
    <row r="12">
      <c r="A12" s="102" t="inlineStr">
        <is>
          <t>Peak self-funded cash deficit (USD)</t>
        </is>
      </c>
      <c r="B12" s="103" t="n">
        <v>903954</v>
      </c>
    </row>
    <row r="13">
      <c r="A13" s="102" t="inlineStr">
        <is>
          <t>Year-1 ending cash with raise (USD)</t>
        </is>
      </c>
      <c r="B13" s="103" t="n">
        <v>2021553.2</v>
      </c>
    </row>
    <row r="14">
      <c r="A14" s="102" t="inlineStr">
        <is>
          <t>Year-5 closing cash (USD)</t>
        </is>
      </c>
      <c r="B14" s="103" t="n">
        <v>6024401</v>
      </c>
    </row>
    <row r="15">
      <c r="A15" s="102" t="inlineStr">
        <is>
          <t>Investment (USD, for 50% of NORCO Egypt)</t>
        </is>
      </c>
      <c r="B15" s="103" t="n">
        <v>1000000</v>
      </c>
    </row>
    <row r="16">
      <c r="A16" s="102" t="inlineStr">
        <is>
          <t>Investor IRR (dividends + terminal)</t>
        </is>
      </c>
      <c r="B16" s="105" t="n">
        <v>0.7884489886335309</v>
      </c>
    </row>
    <row r="17">
      <c r="A17" s="102" t="inlineStr">
        <is>
          <t>Investor MOIC</t>
        </is>
      </c>
      <c r="B17" s="106" t="n">
        <v>12.7863554</v>
      </c>
    </row>
    <row r="18">
      <c r="A18" s="102" t="inlineStr">
        <is>
          <t>Founder pre-operational investment (USD)</t>
        </is>
      </c>
      <c r="B18" s="103" t="n">
        <v>14517</v>
      </c>
    </row>
    <row r="19"/>
    <row r="20">
      <c r="A20" s="107" t="inlineStr">
        <is>
          <t>Chart data (USD)</t>
        </is>
      </c>
    </row>
    <row r="21">
      <c r="A21" s="108" t="inlineStr">
        <is>
          <t>Year</t>
        </is>
      </c>
      <c r="B21" s="109" t="inlineStr">
        <is>
          <t>Y1</t>
        </is>
      </c>
      <c r="C21" s="109" t="inlineStr">
        <is>
          <t>Y2</t>
        </is>
      </c>
      <c r="D21" s="109" t="inlineStr">
        <is>
          <t>Y3</t>
        </is>
      </c>
      <c r="E21" s="109" t="inlineStr">
        <is>
          <t>Y4</t>
        </is>
      </c>
      <c r="F21" s="109" t="inlineStr">
        <is>
          <t>Y5</t>
        </is>
      </c>
    </row>
    <row r="22">
      <c r="A22" s="110" t="inlineStr">
        <is>
          <t>Vestwoods revenue</t>
        </is>
      </c>
      <c r="B22" s="111" t="n">
        <v>5356510</v>
      </c>
      <c r="C22" s="111" t="n">
        <v>8003812</v>
      </c>
      <c r="D22" s="111" t="n">
        <v>9604574.4</v>
      </c>
      <c r="E22" s="111" t="n">
        <v>11525489.2</v>
      </c>
      <c r="F22" s="111" t="n">
        <v>13830587.1</v>
      </c>
    </row>
    <row r="23">
      <c r="A23" s="110" t="inlineStr">
        <is>
          <t>Al Reem revenue</t>
        </is>
      </c>
      <c r="B23" s="111" t="n">
        <v>839103</v>
      </c>
      <c r="C23" s="111" t="n">
        <v>2097758</v>
      </c>
      <c r="D23" s="111" t="n">
        <v>3408857</v>
      </c>
      <c r="E23" s="111" t="n">
        <v>3985741</v>
      </c>
      <c r="F23" s="111" t="n">
        <v>5191951</v>
      </c>
    </row>
    <row r="24">
      <c r="A24" s="110" t="inlineStr">
        <is>
          <t>Net profit</t>
        </is>
      </c>
      <c r="B24" s="111" t="n">
        <v>1031390.5</v>
      </c>
      <c r="C24" s="111" t="n">
        <v>1909853.8</v>
      </c>
      <c r="D24" s="111" t="n">
        <v>2478289.7</v>
      </c>
      <c r="E24" s="111" t="n">
        <v>2900310.5</v>
      </c>
      <c r="F24" s="111" t="n">
        <v>3450573.3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2026-07-15T17:01:47Z</dcterms:created>
  <dcterms:modified xmlns:dcterms="http://purl.org/dc/terms/" xmlns:xsi="http://www.w3.org/2001/XMLSchema-instance" xsi:type="dcterms:W3CDTF">2026-07-17T00:28:39Z</dcterms:modified>
  <cp:lastModifiedBy>Fadi Jannan</cp:lastModifiedBy>
</cp:coreProperties>
</file>