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Key Assumptions" sheetId="2" state="visible" r:id="rId2"/>
    <sheet xmlns:r="http://schemas.openxmlformats.org/officeDocument/2006/relationships" name="Pre-Op Investment" sheetId="3" state="visible" r:id="rId3"/>
    <sheet xmlns:r="http://schemas.openxmlformats.org/officeDocument/2006/relationships" name="Pricing Reference" sheetId="4" state="visible" r:id="rId4"/>
    <sheet xmlns:r="http://schemas.openxmlformats.org/officeDocument/2006/relationships" name="Staff Plan" sheetId="5" state="visible" r:id="rId5"/>
    <sheet xmlns:r="http://schemas.openxmlformats.org/officeDocument/2006/relationships" name="Monthly P&amp;L Year 1" sheetId="6" state="visible" r:id="rId6"/>
    <sheet xmlns:r="http://schemas.openxmlformats.org/officeDocument/2006/relationships" name="Annual P&amp;L Summary Y1-Y5" sheetId="7" state="visible" r:id="rId7"/>
    <sheet xmlns:r="http://schemas.openxmlformats.org/officeDocument/2006/relationships" name="Cash Flow Year 1" sheetId="8" state="visible" r:id="rId8"/>
    <sheet xmlns:r="http://schemas.openxmlformats.org/officeDocument/2006/relationships" name="5Y Cash Flow" sheetId="9" state="visible" r:id="rId9"/>
    <sheet xmlns:r="http://schemas.openxmlformats.org/officeDocument/2006/relationships" name="Market Detail" sheetId="10" state="visible" r:id="rId10"/>
    <sheet xmlns:r="http://schemas.openxmlformats.org/officeDocument/2006/relationships" name="Funding &amp; Returns" sheetId="11" state="visible" r:id="rId11"/>
    <sheet xmlns:r="http://schemas.openxmlformats.org/officeDocument/2006/relationships" name="Shareholding" sheetId="12" state="visible" r:id="rId12"/>
    <sheet xmlns:r="http://schemas.openxmlformats.org/officeDocument/2006/relationships" name="Dashboard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"/>
    <numFmt numFmtId="165" formatCode="0.0%"/>
    <numFmt numFmtId="166" formatCode="0.00&quot;x&quot;"/>
  </numFmts>
  <fonts count="28">
    <font>
      <name val="Calibri"/>
      <family val="2"/>
      <color theme="1"/>
      <sz val="11"/>
      <scheme val="minor"/>
    </font>
    <font>
      <name val="Calibri"/>
      <b val="1"/>
      <color rgb="000F2942"/>
      <sz val="14"/>
    </font>
    <font>
      <name val="Calibri"/>
      <color rgb="005C5B57"/>
      <sz val="9.5"/>
    </font>
    <font>
      <name val="Calibri"/>
      <b val="1"/>
      <color rgb="000F2942"/>
      <sz val="10"/>
    </font>
    <font>
      <name val="Calibri"/>
      <color rgb="001A1A19"/>
      <sz val="9.5"/>
    </font>
    <font>
      <name val="Calibri"/>
      <b val="1"/>
      <color rgb="00FFFFFF"/>
      <sz val="9.5"/>
    </font>
    <font>
      <name val="Calibri"/>
      <b val="1"/>
      <color rgb="000F6E6A"/>
      <sz val="10"/>
    </font>
    <font>
      <name val="Calibri"/>
      <color rgb="001F4E79"/>
      <sz val="9.5"/>
    </font>
    <font>
      <name val="Calibri"/>
      <color rgb="005C5B57"/>
      <sz val="9"/>
    </font>
    <font>
      <name val="Calibri"/>
      <b val="1"/>
      <color rgb="00FFFFFF"/>
      <sz val="9"/>
    </font>
    <font>
      <name val="Calibri"/>
      <b val="1"/>
      <color rgb="000F6E6A"/>
      <sz val="9"/>
    </font>
    <font>
      <name val="Calibri"/>
      <b val="1"/>
      <color rgb="000F6E6A"/>
      <sz val="11"/>
    </font>
    <font>
      <name val="Calibri"/>
      <color rgb="001A1A19"/>
      <sz val="9"/>
    </font>
    <font>
      <name val="Calibri"/>
      <b val="1"/>
      <color rgb="000F2942"/>
      <sz val="9.5"/>
    </font>
    <font>
      <name val="Calibri"/>
      <b val="1"/>
      <color rgb="000F2942"/>
      <sz val="9"/>
    </font>
    <font>
      <name val="Calibri"/>
      <color rgb="005C5B57"/>
      <sz val="8.5"/>
    </font>
    <font>
      <name val="Calibri"/>
      <b val="1"/>
      <color rgb="00FFFFFF"/>
      <sz val="8"/>
    </font>
    <font>
      <name val="Calibri"/>
      <color rgb="001A1A19"/>
      <sz val="8.5"/>
    </font>
    <font>
      <name val="Calibri"/>
      <b val="1"/>
      <color rgb="001A1A19"/>
      <sz val="8.5"/>
    </font>
    <font>
      <name val="Calibri"/>
      <b val="1"/>
      <color rgb="000F2942"/>
      <sz val="8.5"/>
    </font>
    <font>
      <name val="Calibri"/>
      <b val="1"/>
      <color rgb="00FFFFFF"/>
      <sz val="8.5"/>
    </font>
    <font>
      <name val="Calibri"/>
      <b val="1"/>
      <color rgb="000F6E6A"/>
      <sz val="8.5"/>
    </font>
    <font>
      <name val="Calibri"/>
      <b val="1"/>
      <color rgb="000F6E6A"/>
      <sz val="9.5"/>
    </font>
    <font>
      <name val="Calibri"/>
      <b val="1"/>
      <color rgb="001A1A19"/>
      <sz val="9"/>
    </font>
    <font>
      <name val="Calibri"/>
      <b val="1"/>
      <color rgb="00C8892A"/>
      <sz val="10"/>
    </font>
    <font>
      <name val="Calibri"/>
      <b val="1"/>
      <color rgb="00C8892A"/>
      <sz val="11"/>
    </font>
    <font>
      <name val="Calibri"/>
      <b val="1"/>
      <color rgb="001A1A19"/>
      <sz val="10"/>
    </font>
    <font>
      <name val="Calibri"/>
      <b val="1"/>
      <color rgb="005C5B57"/>
      <sz val="8.5"/>
    </font>
  </fonts>
  <fills count="7">
    <fill>
      <patternFill/>
    </fill>
    <fill>
      <patternFill patternType="gray125"/>
    </fill>
    <fill>
      <patternFill patternType="solid">
        <fgColor rgb="000F2942"/>
      </patternFill>
    </fill>
    <fill>
      <patternFill patternType="solid">
        <fgColor rgb="00F3F5F7"/>
      </patternFill>
    </fill>
    <fill>
      <patternFill patternType="solid">
        <fgColor rgb="00E9EDF0"/>
      </patternFill>
    </fill>
    <fill>
      <patternFill patternType="solid">
        <fgColor rgb="000F6E6A"/>
      </patternFill>
    </fill>
    <fill>
      <patternFill patternType="solid">
        <fgColor rgb="00FFF4DF"/>
      </patternFill>
    </fill>
  </fills>
  <borders count="2">
    <border>
      <left/>
      <right/>
      <top/>
      <bottom/>
      <diagonal/>
    </border>
    <border>
      <left style="thin">
        <color rgb="00D8DCE0"/>
      </left>
      <right style="thin">
        <color rgb="00D8DCE0"/>
      </right>
      <top style="thin">
        <color rgb="00D8DCE0"/>
      </top>
      <bottom style="thin">
        <color rgb="00D8DCE0"/>
      </bottom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0" pivotButton="0" quotePrefix="0" xfId="0"/>
    <xf numFmtId="0" fontId="0" fillId="3" borderId="0" pivotButton="0" quotePrefix="0" xfId="0"/>
    <xf numFmtId="0" fontId="4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8" fillId="0" borderId="1" pivotButton="0" quotePrefix="0" xfId="0"/>
    <xf numFmtId="0" fontId="3" fillId="4" borderId="1" pivotButton="0" quotePrefix="0" xfId="0"/>
    <xf numFmtId="0" fontId="0" fillId="4" borderId="0" pivotButton="0" quotePrefix="0" xfId="0"/>
    <xf numFmtId="3" fontId="3" fillId="4" borderId="1" applyAlignment="1" pivotButton="0" quotePrefix="0" xfId="0">
      <alignment horizontal="right" vertical="center"/>
    </xf>
    <xf numFmtId="0" fontId="10" fillId="0" borderId="0" pivotButton="0" quotePrefix="0" xfId="0"/>
    <xf numFmtId="0" fontId="11" fillId="0" borderId="0" pivotButton="0" quotePrefix="0" xfId="0"/>
    <xf numFmtId="0" fontId="12" fillId="0" borderId="1" pivotButton="0" quotePrefix="0" xfId="0"/>
    <xf numFmtId="3" fontId="12" fillId="0" borderId="1" applyAlignment="1" pivotButton="0" quotePrefix="0" xfId="0">
      <alignment horizontal="right" vertical="center"/>
    </xf>
    <xf numFmtId="0" fontId="13" fillId="4" borderId="1" pivotButton="0" quotePrefix="0" xfId="0"/>
    <xf numFmtId="0" fontId="14" fillId="4" borderId="1" pivotButton="0" quotePrefix="0" xfId="0"/>
    <xf numFmtId="3" fontId="13" fillId="4" borderId="1" applyAlignment="1" pivotButton="0" quotePrefix="0" xfId="0">
      <alignment horizontal="right" vertical="center"/>
    </xf>
    <xf numFmtId="0" fontId="15" fillId="0" borderId="0" pivotButton="0" quotePrefix="0" xfId="0"/>
    <xf numFmtId="0" fontId="9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left" vertical="center" wrapText="1"/>
    </xf>
    <xf numFmtId="0" fontId="16" fillId="2" borderId="1" applyAlignment="1" pivotButton="0" quotePrefix="0" xfId="0">
      <alignment horizontal="center" vertical="center" wrapText="1"/>
    </xf>
    <xf numFmtId="0" fontId="17" fillId="0" borderId="1" pivotButton="0" quotePrefix="0" xfId="0"/>
    <xf numFmtId="3" fontId="17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right" vertical="center"/>
    </xf>
    <xf numFmtId="3" fontId="19" fillId="4" borderId="1" applyAlignment="1" pivotButton="0" quotePrefix="0" xfId="0">
      <alignment horizontal="right" vertical="center"/>
    </xf>
    <xf numFmtId="0" fontId="0" fillId="0" borderId="1" pivotButton="0" quotePrefix="0" xfId="0"/>
    <xf numFmtId="0" fontId="14" fillId="6" borderId="1" pivotButton="0" quotePrefix="0" xfId="0"/>
    <xf numFmtId="0" fontId="0" fillId="6" borderId="0" pivotButton="0" quotePrefix="0" xfId="0"/>
    <xf numFmtId="3" fontId="19" fillId="6" borderId="1" applyAlignment="1" pivotButton="0" quotePrefix="0" xfId="0">
      <alignment horizontal="right" vertical="center"/>
    </xf>
    <xf numFmtId="0" fontId="6" fillId="0" borderId="0" pivotButton="0" quotePrefix="0" xfId="0"/>
    <xf numFmtId="0" fontId="18" fillId="0" borderId="1" pivotButton="0" quotePrefix="0" xfId="0"/>
    <xf numFmtId="0" fontId="17" fillId="0" borderId="0" applyAlignment="1" pivotButton="0" quotePrefix="0" xfId="0">
      <alignment horizontal="left" vertical="center" wrapText="1"/>
    </xf>
    <xf numFmtId="0" fontId="19" fillId="4" borderId="1" pivotButton="0" quotePrefix="0" xfId="0"/>
    <xf numFmtId="0" fontId="20" fillId="2" borderId="1" applyAlignment="1" pivotButton="0" quotePrefix="0" xfId="0">
      <alignment horizontal="left" vertical="center" wrapText="1"/>
    </xf>
    <xf numFmtId="0" fontId="20" fillId="2" borderId="1" applyAlignment="1" pivotButton="0" quotePrefix="0" xfId="0">
      <alignment horizontal="center" vertical="center" wrapText="1"/>
    </xf>
    <xf numFmtId="0" fontId="10" fillId="3" borderId="0" pivotButton="0" quotePrefix="0" xfId="0"/>
    <xf numFmtId="0" fontId="12" fillId="0" borderId="1" applyAlignment="1" pivotButton="0" quotePrefix="0" xfId="0">
      <alignment horizontal="left" vertical="center" wrapText="1"/>
    </xf>
    <xf numFmtId="164" fontId="12" fillId="0" borderId="1" applyAlignment="1" pivotButton="0" quotePrefix="0" xfId="0">
      <alignment horizontal="right" vertical="center"/>
    </xf>
    <xf numFmtId="164" fontId="14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left" vertical="center" wrapText="1"/>
    </xf>
    <xf numFmtId="164" fontId="14" fillId="6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right" vertical="center"/>
    </xf>
    <xf numFmtId="0" fontId="21" fillId="0" borderId="0" pivotButton="0" quotePrefix="0" xfId="0"/>
    <xf numFmtId="0" fontId="22" fillId="3" borderId="0" pivotButton="0" quotePrefix="0" xfId="0"/>
    <xf numFmtId="164" fontId="4" fillId="0" borderId="1" applyAlignment="1" pivotButton="0" quotePrefix="0" xfId="0">
      <alignment horizontal="right" vertical="center"/>
    </xf>
    <xf numFmtId="164" fontId="13" fillId="4" borderId="1" applyAlignment="1" pivotButton="0" quotePrefix="0" xfId="0">
      <alignment horizontal="right" vertical="center"/>
    </xf>
    <xf numFmtId="0" fontId="13" fillId="4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164" fontId="13" fillId="6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0" fontId="13" fillId="0" borderId="1" applyAlignment="1" pivotButton="0" quotePrefix="0" xfId="0">
      <alignment horizontal="left" vertical="center" wrapText="1"/>
    </xf>
    <xf numFmtId="164" fontId="13" fillId="0" borderId="1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left" vertical="center" wrapText="1"/>
    </xf>
    <xf numFmtId="0" fontId="23" fillId="0" borderId="1" pivotButton="0" quotePrefix="0" xfId="0"/>
    <xf numFmtId="0" fontId="24" fillId="0" borderId="1" pivotButton="0" quotePrefix="0" xfId="0"/>
    <xf numFmtId="165" fontId="25" fillId="0" borderId="1" applyAlignment="1" pivotButton="0" quotePrefix="0" xfId="0">
      <alignment horizontal="right" vertical="center"/>
    </xf>
    <xf numFmtId="166" fontId="25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9" fontId="4" fillId="0" borderId="1" applyAlignment="1" pivotButton="0" quotePrefix="0" xfId="0">
      <alignment horizontal="right" vertical="center"/>
    </xf>
    <xf numFmtId="9" fontId="3" fillId="4" borderId="1" applyAlignment="1" pivotButton="0" quotePrefix="0" xfId="0">
      <alignment horizontal="right" vertical="center"/>
    </xf>
    <xf numFmtId="0" fontId="13" fillId="0" borderId="1" pivotButton="0" quotePrefix="0" xfId="0"/>
    <xf numFmtId="3" fontId="6" fillId="0" borderId="1" applyAlignment="1" pivotButton="0" quotePrefix="0" xfId="0">
      <alignment horizontal="right" vertical="center"/>
    </xf>
    <xf numFmtId="0" fontId="2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0" fontId="27" fillId="0" borderId="0" pivotButton="0" quotePrefix="0" xfId="0"/>
    <xf numFmtId="0" fontId="18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7" fillId="0" borderId="0" pivotButton="0" quotePrefix="0" xfId="0"/>
    <xf numFmtId="3" fontId="17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Group revenue by division (USD)</a:t>
            </a:r>
          </a:p>
        </rich>
      </tx>
    </title>
    <plotArea>
      <barChart>
        <barDir val="col"/>
        <grouping val="stacked"/>
        <ser>
          <idx val="0"/>
          <order val="0"/>
          <tx>
            <v>Vestwoods</v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'Dashboard'!$B$21:$F$21</f>
            </numRef>
          </cat>
          <val>
            <numRef>
              <f>'Dashboard'!$B$22:$F$22</f>
            </numRef>
          </val>
        </ser>
        <ser>
          <idx val="1"/>
          <order val="1"/>
          <tx>
            <v>Al Reem Plastics</v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'Dashboard'!$B$21:$F$21</f>
            </numRef>
          </cat>
          <val>
            <numRef>
              <f>'Dashboard'!$B$23:$F$23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profit (USD)</a:t>
            </a:r>
          </a:p>
        </rich>
      </tx>
    </title>
    <plotArea>
      <lineChart>
        <grouping val="standard"/>
        <ser>
          <idx val="0"/>
          <order val="0"/>
          <tx>
            <v>Net profit</v>
          </tx>
          <spPr>
            <a:ln xmlns:a="http://schemas.openxmlformats.org/drawingml/2006/main" w="28000">
              <a:solidFill>
                <a:srgbClr val="C8892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'Dashboard'!$B$21:$F$21</f>
            </numRef>
          </cat>
          <val>
            <numRef>
              <f>'Dashboard'!$B$24:$F$24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3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20</row>
      <rowOff>0</rowOff>
    </from>
    <ext cx="54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NORCO — Group Investor Model V5</t>
        </is>
      </c>
    </row>
    <row r="2">
      <c r="A2" s="2" t="inlineStr">
        <is>
          <t>Vestwoods (Haier Energy) + Al Reem Plastics (Angola) | Investment into NORCO Egypt | Aug 2026 – Jul 2031</t>
        </is>
      </c>
    </row>
    <row r="4" ht="34" customHeight="1">
      <c r="A4" s="3" t="inlineStr">
        <is>
          <t>Purpose</t>
        </is>
      </c>
      <c r="B4" s="4" t="inlineStr">
        <is>
          <t>Investor-grade 5-year model for NORCO's two-division distribution platform. The investor invests USD 1,500,000 into the EGYPT operating company for 50% of its shares.</t>
        </is>
      </c>
    </row>
    <row r="5" ht="34" customHeight="1">
      <c r="A5" s="3" t="inlineStr">
        <is>
          <t>Divisions &amp; markets</t>
        </is>
      </c>
      <c r="B5" s="4" t="inlineStr">
        <is>
          <t>Vestwoods lithium BESS: Egypt, Sudan, Algeria, Libya. Al Reem Plastics houseware (sourced from the Al Reem plant in Angola on affiliated terms): Egypt and Sudan.</t>
        </is>
      </c>
    </row>
    <row r="6" ht="34" customHeight="1">
      <c r="A6" s="3" t="inlineStr">
        <is>
          <t>Vestwoods economics</t>
        </is>
      </c>
      <c r="B6" s="4" t="inlineStr">
        <is>
          <t>40ft container of 340 units. COGS = 72% of revenue at retail, 87% at wholesale (verified pricing list). Egypt sells 50% retail / 50% wholesale; all export markets wholesale-only.</t>
        </is>
      </c>
    </row>
    <row r="7" ht="34" customHeight="1">
      <c r="A7" s="3" t="inlineStr">
        <is>
          <t>Al Reem economics</t>
        </is>
      </c>
      <c r="B7" s="4" t="inlineStr">
        <is>
          <t>40ft container of 20,488 units / 69 SKUs (July-2026 packing list), landed cost USD 59,343. NORCO buys 30% below price list: margin = 30% of retail revenue, 20% of wholesale revenue. Egypt 50/50 retail-wholesale; Sudan wholesale-only.</t>
        </is>
      </c>
    </row>
    <row r="8" ht="34" customHeight="1">
      <c r="A8" s="3" t="inlineStr">
        <is>
          <t>Container plan</t>
        </is>
      </c>
      <c r="B8" s="4" t="inlineStr">
        <is>
          <t>Vestwoods — Egypt 6/7/9/11/15, Sudan 4/5/6/8/10, Algeria 3/4/6/7/8, Libya 0/4/5/6/8. Al Reem — Egypt 10/12/15/18/20, Sudan 5/8/10/12/15 (Y1..Y5).</t>
        </is>
      </c>
    </row>
    <row r="9" ht="34" customHeight="1">
      <c r="A9" s="3" t="inlineStr">
        <is>
          <t>Investment ask</t>
        </is>
      </c>
      <c r="B9" s="4" t="inlineStr">
        <is>
          <t>USD 1,500,000 (funding requirement band USD 1.0M – 1.5M). Tranche 1 USD 1.0M at close (Aug-26); Tranche 2 USD 0.5M at Month 4, milestone-gated.</t>
        </is>
      </c>
    </row>
    <row r="10" ht="34" customHeight="1">
      <c r="A10" s="3" t="inlineStr">
        <is>
          <t>Shareholding</t>
        </is>
      </c>
      <c r="B10" s="4" t="inlineStr">
        <is>
          <t>NORCO Egypt: Investor 50% | NORCO UAE 20% | Founder 20% | Partner A 5% | Partner B 5%. Founder-side combined interest 40% (20% direct + 20% via NORCO UAE).</t>
        </is>
      </c>
    </row>
    <row r="11" ht="34" customHeight="1">
      <c r="A11" s="3" t="inlineStr">
        <is>
          <t>Currency &amp; FX</t>
        </is>
      </c>
      <c r="B11" s="4" t="inlineStr">
        <is>
          <t>USD throughout. Planning rate USD 1 = EGP 53. Corporate tax 22.5% on net profit; Year-1 tax computed with loss carry-forward.</t>
        </is>
      </c>
    </row>
    <row r="12" ht="34" customHeight="1">
      <c r="A12" s="3" t="inlineStr">
        <is>
          <t>Supplier terms</t>
        </is>
      </c>
      <c r="B12" s="4" t="inlineStr">
        <is>
          <t>Vestwoods Year 1: 100% payment before shipment; from Month 13: 10% down + 90% at 3-month credit. Al Reem (affiliate): paid against shipping documents.</t>
        </is>
      </c>
    </row>
    <row r="13" ht="34" customHeight="1">
      <c r="A13" s="3" t="inlineStr">
        <is>
          <t>Sheets</t>
        </is>
      </c>
      <c r="B13" s="4" t="inlineStr">
        <is>
          <t>Key Assumptions | Pre-Op Investment | Pricing Reference | Staff Plan | Monthly P&amp;L Year 1 | Annual P&amp;L Summary Y1-Y5 | Cash Flow Year 1 | 5Y Cash Flow | Market Detail | Funding &amp; Returns | Shareholding | Dashboard</t>
        </is>
      </c>
    </row>
    <row r="14" ht="34" customHeight="1">
      <c r="A14" s="3" t="inlineStr">
        <is>
          <t>Version</t>
        </is>
      </c>
      <c r="B14" s="4" t="inlineStr">
        <is>
          <t>V5 (Group) — 14 July 2026. Strictly Private &amp; Confidential. Prepared by Fadi Jannan, Managing Director.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4" customWidth="1" min="2" max="2"/>
    <col width="62" customWidth="1" min="3" max="3"/>
  </cols>
  <sheetData>
    <row r="1">
      <c r="A1" s="1" t="inlineStr">
        <is>
          <t>Key Assumptions</t>
        </is>
      </c>
    </row>
    <row r="2">
      <c r="A2" s="2" t="inlineStr">
        <is>
          <t>Corrected plan basis — July 2026 | Blue = key input</t>
        </is>
      </c>
    </row>
    <row r="4">
      <c r="A4" s="5" t="inlineStr">
        <is>
          <t>Parameter</t>
        </is>
      </c>
      <c r="B4" s="6" t="inlineStr">
        <is>
          <t>Value</t>
        </is>
      </c>
      <c r="C4" s="6" t="inlineStr">
        <is>
          <t>Notes</t>
        </is>
      </c>
    </row>
    <row r="5">
      <c r="A5" s="7" t="inlineStr">
        <is>
          <t>► GENERAL</t>
        </is>
      </c>
      <c r="B5" s="8" t="n"/>
      <c r="C5" s="8" t="n"/>
    </row>
    <row r="6" ht="24" customHeight="1">
      <c r="A6" s="9" t="inlineStr">
        <is>
          <t>Business start</t>
        </is>
      </c>
      <c r="B6" s="10" t="inlineStr">
        <is>
          <t>August 2026</t>
        </is>
      </c>
      <c r="C6" s="11" t="inlineStr">
        <is>
          <t>Month 1 = Aug-26; fiscal years run Aug–Jul</t>
        </is>
      </c>
    </row>
    <row r="7" ht="24" customHeight="1">
      <c r="A7" s="9" t="inlineStr">
        <is>
          <t>Scope</t>
        </is>
      </c>
      <c r="B7" s="10" t="inlineStr">
        <is>
          <t>Two divisions on one platform</t>
        </is>
      </c>
      <c r="C7" s="11" t="inlineStr">
        <is>
          <t>Vestwoods (Haier Energy) BESS + Al Reem Plastics houseware</t>
        </is>
      </c>
    </row>
    <row r="8" ht="24" customHeight="1">
      <c r="A8" s="9" t="inlineStr">
        <is>
          <t>Investment vehicle</t>
        </is>
      </c>
      <c r="B8" s="10" t="inlineStr">
        <is>
          <t>NORCO Egypt (operating company)</t>
        </is>
      </c>
      <c r="C8" s="11" t="inlineStr">
        <is>
          <t>Investor subscribes for 50% of NORCO Egypt; NORCO UAE holds 20%</t>
        </is>
      </c>
    </row>
    <row r="9" ht="24" customHeight="1">
      <c r="A9" s="9" t="inlineStr">
        <is>
          <t>FX planning rate</t>
        </is>
      </c>
      <c r="B9" s="10" t="inlineStr">
        <is>
          <t>USD 1 = EGP 53</t>
        </is>
      </c>
      <c r="C9" s="11" t="inlineStr">
        <is>
          <t>Conservative vs spot ~49–51</t>
        </is>
      </c>
    </row>
    <row r="10" ht="24" customHeight="1">
      <c r="A10" s="9" t="inlineStr">
        <is>
          <t>Corporate tax</t>
        </is>
      </c>
      <c r="B10" s="10" t="inlineStr">
        <is>
          <t>22.5% on net profit</t>
        </is>
      </c>
      <c r="C10" s="11" t="inlineStr">
        <is>
          <t>Loss carry-forward applied in Year 1</t>
        </is>
      </c>
    </row>
    <row r="11">
      <c r="A11" s="7" t="inlineStr">
        <is>
          <t>► VESTWOODS</t>
        </is>
      </c>
      <c r="B11" s="8" t="n"/>
      <c r="C11" s="8" t="n"/>
    </row>
    <row r="12" ht="24" customHeight="1">
      <c r="A12" s="9" t="inlineStr">
        <is>
          <t>Markets</t>
        </is>
      </c>
      <c r="B12" s="10" t="inlineStr">
        <is>
          <t>Egypt, Sudan, Algeria, Libya</t>
        </is>
      </c>
      <c r="C12" s="11" t="inlineStr">
        <is>
          <t>Egypt retail+wholesale; exports wholesale-only</t>
        </is>
      </c>
    </row>
    <row r="13" ht="24" customHeight="1">
      <c r="A13" s="9" t="inlineStr">
        <is>
          <t>Container</t>
        </is>
      </c>
      <c r="B13" s="10" t="inlineStr">
        <is>
          <t>340 units / 40ft, COGS USD 342,316</t>
        </is>
      </c>
      <c r="C13" s="11" t="inlineStr">
        <is>
          <t>Supplier prepay USD 239,805 + local import costs USD 102,511</t>
        </is>
      </c>
    </row>
    <row r="14" ht="24" customHeight="1">
      <c r="A14" s="9" t="inlineStr">
        <is>
          <t>COGS — retail</t>
        </is>
      </c>
      <c r="B14" s="10" t="inlineStr">
        <is>
          <t>72% of revenue</t>
        </is>
      </c>
      <c r="C14" s="11" t="inlineStr">
        <is>
          <t>Container retail value USD 472,680</t>
        </is>
      </c>
    </row>
    <row r="15" ht="24" customHeight="1">
      <c r="A15" s="9" t="inlineStr">
        <is>
          <t>COGS — wholesale</t>
        </is>
      </c>
      <c r="B15" s="10" t="inlineStr">
        <is>
          <t>87% of revenue</t>
        </is>
      </c>
      <c r="C15" s="11" t="inlineStr">
        <is>
          <t>Container wholesale value USD 393,882</t>
        </is>
      </c>
    </row>
    <row r="16" ht="24" customHeight="1">
      <c r="A16" s="9" t="inlineStr">
        <is>
          <t>Egypt mix</t>
        </is>
      </c>
      <c r="B16" s="10" t="inlineStr">
        <is>
          <t>50% retail / 50% wholesale</t>
        </is>
      </c>
      <c r="C16" s="11" t="inlineStr">
        <is>
          <t>Blended Egypt revenue USD 433,281/container (21.0% GM)</t>
        </is>
      </c>
    </row>
    <row r="17" ht="24" customHeight="1">
      <c r="A17" s="9" t="inlineStr">
        <is>
          <t>Container plan Y1→Y5</t>
        </is>
      </c>
      <c r="B17" s="10" t="inlineStr">
        <is>
          <t>Egypt 6→15 | Sudan 4→10 | Algeria 3→8 | Libya 0→8</t>
        </is>
      </c>
      <c r="C17" s="11" t="inlineStr">
        <is>
          <t>41 containers by Year 5</t>
        </is>
      </c>
    </row>
    <row r="18" ht="24" customHeight="1">
      <c r="A18" s="9" t="inlineStr">
        <is>
          <t>Supplier terms Y1</t>
        </is>
      </c>
      <c r="B18" s="10" t="inlineStr">
        <is>
          <t>100% payment before shipment</t>
        </is>
      </c>
      <c r="C18" s="11" t="inlineStr">
        <is>
          <t>Drives the working-capital need and the raise</t>
        </is>
      </c>
    </row>
    <row r="19" ht="24" customHeight="1">
      <c r="A19" s="9" t="inlineStr">
        <is>
          <t>Supplier terms Y2+</t>
        </is>
      </c>
      <c r="B19" s="10" t="inlineStr">
        <is>
          <t>10% down + 90% at 3-month credit</t>
        </is>
      </c>
      <c r="C19" s="11" t="inlineStr">
        <is>
          <t>From Month 13 — releases ~90% of container capital</t>
        </is>
      </c>
    </row>
    <row r="20">
      <c r="A20" s="7" t="inlineStr">
        <is>
          <t>► AL REEM PLASTICS (ANGOLA)</t>
        </is>
      </c>
      <c r="B20" s="8" t="n"/>
      <c r="C20" s="8" t="n"/>
    </row>
    <row r="21" ht="24" customHeight="1">
      <c r="A21" s="9" t="inlineStr">
        <is>
          <t>Markets</t>
        </is>
      </c>
      <c r="B21" s="10" t="inlineStr">
        <is>
          <t>Egypt and Sudan</t>
        </is>
      </c>
      <c r="C21" s="11" t="inlineStr">
        <is>
          <t>Export corridors expand later</t>
        </is>
      </c>
    </row>
    <row r="22" ht="24" customHeight="1">
      <c r="A22" s="9" t="inlineStr">
        <is>
          <t>Sourcing</t>
        </is>
      </c>
      <c r="B22" s="10" t="inlineStr">
        <is>
          <t>Affiliated plant in Angola — 30% below price list</t>
        </is>
      </c>
      <c r="C22" s="11" t="inlineStr">
        <is>
          <t>Margin = 30% of retail revenue / 20% of wholesale revenue</t>
        </is>
      </c>
    </row>
    <row r="23" ht="24" customHeight="1">
      <c r="A23" s="9" t="inlineStr">
        <is>
          <t>Container</t>
        </is>
      </c>
      <c r="B23" s="10" t="inlineStr">
        <is>
          <t>20,488 units / 69 SKUs, landed cost USD 59,343</t>
        </is>
      </c>
      <c r="C23" s="11" t="inlineStr">
        <is>
          <t>Priced line-by-line from the July-2026 Egypt packing list</t>
        </is>
      </c>
    </row>
    <row r="24" ht="24" customHeight="1">
      <c r="A24" s="9" t="inlineStr">
        <is>
          <t>Egypt revenue / container</t>
        </is>
      </c>
      <c r="B24" s="10" t="inlineStr">
        <is>
          <t>USD 79,477 (50/50 retail-wholesale)</t>
        </is>
      </c>
      <c r="C24" s="11" t="inlineStr">
        <is>
          <t>GM 25.3% blended</t>
        </is>
      </c>
    </row>
    <row r="25" ht="24" customHeight="1">
      <c r="A25" s="9" t="inlineStr">
        <is>
          <t>Sudan revenue / container</t>
        </is>
      </c>
      <c r="B25" s="10" t="inlineStr">
        <is>
          <t>USD 74,179 (wholesale)</t>
        </is>
      </c>
      <c r="C25" s="11" t="inlineStr">
        <is>
          <t>GM 20.0%; 50% advance + 50% on delivery</t>
        </is>
      </c>
    </row>
    <row r="26" ht="24" customHeight="1">
      <c r="A26" s="9" t="inlineStr">
        <is>
          <t>Container plan Y1→Y5</t>
        </is>
      </c>
      <c r="B26" s="10" t="inlineStr">
        <is>
          <t>Egypt 10→20 | Sudan 5→15</t>
        </is>
      </c>
      <c r="C26" s="11" t="inlineStr">
        <is>
          <t>35 containers by Year 5</t>
        </is>
      </c>
    </row>
    <row r="27">
      <c r="A27" s="7" t="inlineStr">
        <is>
          <t>► CUSTOMER TERMS</t>
        </is>
      </c>
      <c r="B27" s="8" t="n"/>
      <c r="C27" s="8" t="n"/>
    </row>
    <row r="28" ht="24" customHeight="1">
      <c r="A28" s="9" t="inlineStr">
        <is>
          <t>Egypt customers</t>
        </is>
      </c>
      <c r="B28" s="10" t="inlineStr">
        <is>
          <t>30–60 days (avg 45); 1-month collection lag</t>
        </is>
      </c>
      <c r="C28" s="11" t="inlineStr">
        <is>
          <t>Invoice on delivery</t>
        </is>
      </c>
    </row>
    <row r="29" ht="24" customHeight="1">
      <c r="A29" s="9" t="inlineStr">
        <is>
          <t>Sudan</t>
        </is>
      </c>
      <c r="B29" s="10" t="inlineStr">
        <is>
          <t>50% advance at order + 50% on delivery</t>
        </is>
      </c>
      <c r="C29" s="11" t="inlineStr">
        <is>
          <t>Cash before/at shipment</t>
        </is>
      </c>
    </row>
    <row r="30" ht="24" customHeight="1">
      <c r="A30" s="9" t="inlineStr">
        <is>
          <t>Algeria</t>
        </is>
      </c>
      <c r="B30" s="10" t="inlineStr">
        <is>
          <t>100% LC before shipment (FOB Jebel Ali)</t>
        </is>
      </c>
      <c r="C30" s="11" t="inlineStr">
        <is>
          <t>Licensed importer; zero in-country exposure</t>
        </is>
      </c>
    </row>
    <row r="31" ht="24" customHeight="1">
      <c r="A31" s="9" t="inlineStr">
        <is>
          <t>Libya</t>
        </is>
      </c>
      <c r="B31" s="10" t="inlineStr">
        <is>
          <t>Advance / confirmed LC</t>
        </is>
      </c>
      <c r="C31" s="11" t="inlineStr">
        <is>
          <t>From Year 2, dual-hub distributors</t>
        </is>
      </c>
    </row>
    <row r="32">
      <c r="A32" s="7" t="inlineStr">
        <is>
          <t>► FACILITIES &amp; STAFF</t>
        </is>
      </c>
      <c r="B32" s="8" t="n"/>
      <c r="C32" s="8" t="n"/>
    </row>
    <row r="33" ht="24" customHeight="1">
      <c r="A33" s="9" t="inlineStr">
        <is>
          <t>Showroom #1</t>
        </is>
      </c>
      <c r="B33" s="10" t="inlineStr">
        <is>
          <t>6th October City — OPERATIONAL</t>
        </is>
      </c>
      <c r="C33" s="11" t="inlineStr">
        <is>
          <t>EGP 10,000/mo = USD 200; renovated &amp; furnished</t>
        </is>
      </c>
    </row>
    <row r="34" ht="24" customHeight="1">
      <c r="A34" s="9" t="inlineStr">
        <is>
          <t>Showroom #2</t>
        </is>
      </c>
      <c r="B34" s="10" t="inlineStr">
        <is>
          <t>New Cairo ~100 sqm — opens Month 1</t>
        </is>
      </c>
      <c r="C34" s="11" t="inlineStr">
        <is>
          <t>USD 3,500/month</t>
        </is>
      </c>
    </row>
    <row r="35" ht="24" customHeight="1">
      <c r="A35" s="9" t="inlineStr">
        <is>
          <t>Office</t>
        </is>
      </c>
      <c r="B35" s="10" t="inlineStr">
        <is>
          <t>New Cairo, ~100 sqm furnished</t>
        </is>
      </c>
      <c r="C35" s="11" t="inlineStr">
        <is>
          <t>USD 3,000/month</t>
        </is>
      </c>
    </row>
    <row r="36" ht="24" customHeight="1">
      <c r="A36" s="9" t="inlineStr">
        <is>
          <t>Warehouse</t>
        </is>
      </c>
      <c r="B36" s="10" t="inlineStr">
        <is>
          <t>300–700 sqm — 6th Oct / Sheikh Zayed / New Cairo</t>
        </is>
      </c>
      <c r="C36" s="11" t="inlineStr">
        <is>
          <t>USD 3,000/month; located on best available cost</t>
        </is>
      </c>
    </row>
    <row r="37" ht="24" customHeight="1">
      <c r="A37" s="9" t="inlineStr">
        <is>
          <t>Sales compensation</t>
        </is>
      </c>
      <c r="B37" s="10" t="inlineStr">
        <is>
          <t>Salary + 4% commission on Egypt sales</t>
        </is>
      </c>
      <c r="C37" s="11" t="inlineStr">
        <is>
          <t>Commission on both divisions' Egypt revenue</t>
        </is>
      </c>
    </row>
    <row r="38" ht="24" customHeight="1">
      <c r="A38" s="9" t="inlineStr">
        <is>
          <t>Headcount</t>
        </is>
      </c>
      <c r="B38" s="10" t="inlineStr">
        <is>
          <t>19 (M12) → 55 (Year 5)</t>
        </is>
      </c>
      <c r="C38" s="11" t="inlineStr">
        <is>
          <t>Full roster in Staff Plan sheet</t>
        </is>
      </c>
    </row>
    <row r="39">
      <c r="A39" s="7" t="inlineStr">
        <is>
          <t>► FUNDING</t>
        </is>
      </c>
      <c r="B39" s="8" t="n"/>
      <c r="C39" s="8" t="n"/>
    </row>
    <row r="40" ht="24" customHeight="1">
      <c r="A40" s="9" t="inlineStr">
        <is>
          <t>Investment</t>
        </is>
      </c>
      <c r="B40" s="10" t="inlineStr">
        <is>
          <t>USD 1,500,000 for 50% of NORCO Egypt</t>
        </is>
      </c>
      <c r="C40" s="11" t="inlineStr">
        <is>
          <t>Band USD 1.0M – 1.5M; two tranches</t>
        </is>
      </c>
    </row>
    <row r="41" ht="24" customHeight="1">
      <c r="A41" s="9" t="inlineStr">
        <is>
          <t>Peak funding need</t>
        </is>
      </c>
      <c r="B41" s="10" t="inlineStr">
        <is>
          <t>USD 1,289,098 (self-funded deficit)</t>
        </is>
      </c>
      <c r="C41" s="11" t="inlineStr">
        <is>
          <t>Covered by the raise with buffer; min cash +USD 120,114</t>
        </is>
      </c>
    </row>
    <row r="42" ht="24" customHeight="1">
      <c r="A42" s="9" t="inlineStr">
        <is>
          <t>Dividend policy</t>
        </is>
      </c>
      <c r="B42" s="10" t="inlineStr">
        <is>
          <t>100% of net profit distributed, in arrears</t>
        </is>
      </c>
      <c r="C42" s="11" t="inlineStr">
        <is>
          <t>Investor receives 50% of each distribution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6" customWidth="1" min="3" max="3"/>
    <col width="12" customWidth="1" min="4" max="4"/>
    <col width="24" customWidth="1" min="5" max="5"/>
  </cols>
  <sheetData>
    <row r="1">
      <c r="A1" s="1" t="inlineStr">
        <is>
          <t>Pre-Operational Investment (Already Spent by Founder)</t>
        </is>
      </c>
    </row>
    <row r="2">
      <c r="A2" s="2" t="inlineStr">
        <is>
          <t>Incurred before the August 2026 launch — demonstrates founder commitment and operational readiness</t>
        </is>
      </c>
    </row>
    <row r="4">
      <c r="A4" s="12" t="inlineStr">
        <is>
          <t>Description</t>
        </is>
      </c>
      <c r="B4" s="13" t="inlineStr">
        <is>
          <t>Date</t>
        </is>
      </c>
      <c r="C4" s="13" t="inlineStr">
        <is>
          <t>Original Amount</t>
        </is>
      </c>
      <c r="D4" s="13" t="inlineStr">
        <is>
          <t>USD</t>
        </is>
      </c>
      <c r="E4" s="13" t="inlineStr">
        <is>
          <t>Category</t>
        </is>
      </c>
    </row>
    <row r="5">
      <c r="A5" s="9" t="inlineStr">
        <is>
          <t>Showroom renovation — 6th October City</t>
        </is>
      </c>
      <c r="B5" s="14" t="inlineStr">
        <is>
          <t>Jun 2026</t>
        </is>
      </c>
      <c r="C5" s="15" t="inlineStr">
        <is>
          <t>EGP 82,000</t>
        </is>
      </c>
      <c r="D5" s="16" t="n">
        <v>1640</v>
      </c>
      <c r="E5" s="17" t="inlineStr">
        <is>
          <t>Capex — Fit-out</t>
        </is>
      </c>
    </row>
    <row r="6">
      <c r="A6" s="9" t="inlineStr">
        <is>
          <t>Showroom furniture &amp; fittings</t>
        </is>
      </c>
      <c r="B6" s="14" t="inlineStr">
        <is>
          <t>Jun 2026</t>
        </is>
      </c>
      <c r="C6" s="15" t="inlineStr">
        <is>
          <t>EGP 85,000</t>
        </is>
      </c>
      <c r="D6" s="16" t="n">
        <v>1700</v>
      </c>
      <c r="E6" s="17" t="inlineStr">
        <is>
          <t>Capex — Fit-out</t>
        </is>
      </c>
    </row>
    <row r="7">
      <c r="A7" s="9" t="inlineStr">
        <is>
          <t>Security cameras &amp; CCTV</t>
        </is>
      </c>
      <c r="B7" s="14" t="inlineStr">
        <is>
          <t>Jun 2026</t>
        </is>
      </c>
      <c r="C7" s="15" t="inlineStr">
        <is>
          <t>EGP 7,500</t>
        </is>
      </c>
      <c r="D7" s="16" t="n">
        <v>150</v>
      </c>
      <c r="E7" s="17" t="inlineStr">
        <is>
          <t>Capex — Security</t>
        </is>
      </c>
    </row>
    <row r="8">
      <c r="A8" s="9" t="inlineStr">
        <is>
          <t>Additional setup &amp; equipment</t>
        </is>
      </c>
      <c r="B8" s="14" t="inlineStr">
        <is>
          <t>Jun 2026</t>
        </is>
      </c>
      <c r="C8" s="15" t="inlineStr">
        <is>
          <t>EGP 50,000</t>
        </is>
      </c>
      <c r="D8" s="16" t="n">
        <v>1000</v>
      </c>
      <c r="E8" s="17" t="inlineStr">
        <is>
          <t>Capex — Equipment</t>
        </is>
      </c>
    </row>
    <row r="9">
      <c r="A9" s="9" t="inlineStr">
        <is>
          <t>Legal &amp; licensing — Egypt company registration</t>
        </is>
      </c>
      <c r="B9" s="14" t="inlineStr">
        <is>
          <t>Jul 2025</t>
        </is>
      </c>
      <c r="C9" s="15" t="inlineStr">
        <is>
          <t>EGP 87,000</t>
        </is>
      </c>
      <c r="D9" s="16" t="n">
        <v>1740</v>
      </c>
      <c r="E9" s="17" t="inlineStr">
        <is>
          <t>OpEx — Legal/Egypt</t>
        </is>
      </c>
    </row>
    <row r="10">
      <c r="A10" s="9" t="inlineStr">
        <is>
          <t>Legal &amp; licensing — import permits Egypt</t>
        </is>
      </c>
      <c r="B10" s="14" t="inlineStr">
        <is>
          <t>Jun 2026</t>
        </is>
      </c>
      <c r="C10" s="15" t="inlineStr">
        <is>
          <t>EGP 80,000</t>
        </is>
      </c>
      <c r="D10" s="16" t="n">
        <v>1600</v>
      </c>
      <c r="E10" s="17" t="inlineStr">
        <is>
          <t>OpEx — Legal/Egypt</t>
        </is>
      </c>
    </row>
    <row r="11">
      <c r="A11" s="9" t="inlineStr">
        <is>
          <t>UAE business licence — NORCO General Trading LLC</t>
        </is>
      </c>
      <c r="B11" s="14" t="inlineStr">
        <is>
          <t>2025–2026</t>
        </is>
      </c>
      <c r="C11" s="15" t="inlineStr">
        <is>
          <t>AED 15,000</t>
        </is>
      </c>
      <c r="D11" s="16" t="n">
        <v>4084</v>
      </c>
      <c r="E11" s="17" t="inlineStr">
        <is>
          <t>OpEx — Legal/UAE</t>
        </is>
      </c>
    </row>
    <row r="12">
      <c r="A12" s="9" t="inlineStr">
        <is>
          <t>Showroom rent — pre-operations (2 months)</t>
        </is>
      </c>
      <c r="B12" s="14" t="inlineStr">
        <is>
          <t>Jun–Jul 2026</t>
        </is>
      </c>
      <c r="C12" s="15" t="inlineStr">
        <is>
          <t>EGP 20,000</t>
        </is>
      </c>
      <c r="D12" s="16" t="n">
        <v>400</v>
      </c>
      <c r="E12" s="17" t="inlineStr">
        <is>
          <t>OpEx — Rent</t>
        </is>
      </c>
    </row>
    <row r="13">
      <c r="A13" s="9" t="inlineStr">
        <is>
          <t>Sales representative salary — 2 months pre-launch</t>
        </is>
      </c>
      <c r="B13" s="14" t="inlineStr">
        <is>
          <t>Jun–Jul 2026</t>
        </is>
      </c>
      <c r="C13" s="15" t="inlineStr">
        <is>
          <t>2 × USD 500</t>
        </is>
      </c>
      <c r="D13" s="16" t="n">
        <v>1000</v>
      </c>
      <c r="E13" s="17" t="inlineStr">
        <is>
          <t>OpEx — Salaries</t>
        </is>
      </c>
    </row>
    <row r="14">
      <c r="A14" s="9" t="inlineStr">
        <is>
          <t>Products purchased &amp; sold through showroom (pre-launch trading)</t>
        </is>
      </c>
      <c r="B14" s="14" t="inlineStr">
        <is>
          <t>Jun–Jul 2026</t>
        </is>
      </c>
      <c r="C14" s="15" t="inlineStr">
        <is>
          <t>EGP 31,948.50</t>
        </is>
      </c>
      <c r="D14" s="16" t="n">
        <v>603</v>
      </c>
      <c r="E14" s="17" t="inlineStr">
        <is>
          <t>Working capital — Inventory</t>
        </is>
      </c>
    </row>
    <row r="15">
      <c r="A15" s="9" t="inlineStr">
        <is>
          <t>Company branding, logo &amp; stationery</t>
        </is>
      </c>
      <c r="B15" s="14" t="inlineStr">
        <is>
          <t>2025</t>
        </is>
      </c>
      <c r="C15" s="15" t="inlineStr">
        <is>
          <t>USD 300</t>
        </is>
      </c>
      <c r="D15" s="16" t="n">
        <v>300</v>
      </c>
      <c r="E15" s="17" t="inlineStr">
        <is>
          <t>OpEx — Marketing</t>
        </is>
      </c>
    </row>
    <row r="16">
      <c r="A16" s="9" t="inlineStr">
        <is>
          <t>Corporate website — norcotrading.com</t>
        </is>
      </c>
      <c r="B16" s="14" t="inlineStr">
        <is>
          <t>2025</t>
        </is>
      </c>
      <c r="C16" s="15" t="inlineStr">
        <is>
          <t>USD 300</t>
        </is>
      </c>
      <c r="D16" s="16" t="n">
        <v>300</v>
      </c>
      <c r="E16" s="17" t="inlineStr">
        <is>
          <t>OpEx — Marketing</t>
        </is>
      </c>
    </row>
    <row r="17">
      <c r="A17" s="18" t="inlineStr">
        <is>
          <t>TOTAL PRE-OPERATIONAL INVESTMENT</t>
        </is>
      </c>
      <c r="B17" s="19" t="n"/>
      <c r="C17" s="19" t="n"/>
      <c r="D17" s="20">
        <f>SUM(D5:D16)</f>
        <v/>
      </c>
      <c r="E17" s="19" t="n"/>
    </row>
    <row r="19">
      <c r="A19" s="21" t="inlineStr">
        <is>
          <t>Note: EGP 31,948.50 of product stock was purchased and sold through the operating showroom before launch — live proof of demand at the retail point of sale.</t>
        </is>
      </c>
    </row>
  </sheetData>
  <mergeCells count="3">
    <mergeCell ref="A2:E2"/>
    <mergeCell ref="A1:E1"/>
    <mergeCell ref="A19:E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</cols>
  <sheetData>
    <row r="1">
      <c r="A1" s="1" t="inlineStr">
        <is>
          <t>Pricing Reference — Both Divisions</t>
        </is>
      </c>
    </row>
    <row r="2">
      <c r="A2" s="2" t="inlineStr">
        <is>
          <t>Vestwoods verified pricing (EGP 53 = USD 1) | Al Reem container economics from the July-2026 packing list</t>
        </is>
      </c>
    </row>
    <row r="4">
      <c r="A4" s="22" t="inlineStr">
        <is>
          <t>A.  VESTWOODS — verified unit pricing (USD)</t>
        </is>
      </c>
    </row>
    <row r="5">
      <c r="A5" s="12" t="inlineStr">
        <is>
          <t>Model</t>
        </is>
      </c>
      <c r="B5" s="13" t="inlineStr">
        <is>
          <t>Description</t>
        </is>
      </c>
      <c r="C5" s="13" t="inlineStr">
        <is>
          <t>Qty / 40ft</t>
        </is>
      </c>
      <c r="D5" s="13" t="inlineStr">
        <is>
          <t>Factory</t>
        </is>
      </c>
      <c r="E5" s="13" t="inlineStr">
        <is>
          <t>COGS</t>
        </is>
      </c>
      <c r="F5" s="13" t="inlineStr">
        <is>
          <t>Wholesale</t>
        </is>
      </c>
      <c r="G5" s="13" t="inlineStr">
        <is>
          <t>Retail USD</t>
        </is>
      </c>
      <c r="H5" s="13" t="inlineStr">
        <is>
          <t>Retail EGP</t>
        </is>
      </c>
    </row>
    <row r="6">
      <c r="A6" s="23" t="inlineStr">
        <is>
          <t>VE51100L</t>
        </is>
      </c>
      <c r="B6" s="23" t="inlineStr">
        <is>
          <t>Smart Battery 5.12kWh</t>
        </is>
      </c>
      <c r="C6" s="24" t="n">
        <v>70</v>
      </c>
      <c r="D6" s="24" t="n">
        <v>672</v>
      </c>
      <c r="E6" s="24" t="n">
        <v>988</v>
      </c>
      <c r="F6" s="24" t="n">
        <v>1137</v>
      </c>
      <c r="G6" s="24" t="n">
        <v>1364</v>
      </c>
      <c r="H6" s="24" t="n">
        <v>72292</v>
      </c>
    </row>
    <row r="7">
      <c r="A7" s="23" t="inlineStr">
        <is>
          <t>VE51200L</t>
        </is>
      </c>
      <c r="B7" s="23" t="inlineStr">
        <is>
          <t>Smart Battery 10.24kWh</t>
        </is>
      </c>
      <c r="C7" s="24" t="n">
        <v>24</v>
      </c>
      <c r="D7" s="24" t="n">
        <v>1200</v>
      </c>
      <c r="E7" s="24" t="n">
        <v>1748</v>
      </c>
      <c r="F7" s="24" t="n">
        <v>2011</v>
      </c>
      <c r="G7" s="24" t="n">
        <v>2413</v>
      </c>
      <c r="H7" s="24" t="n">
        <v>127889</v>
      </c>
    </row>
    <row r="8">
      <c r="A8" s="23" t="inlineStr">
        <is>
          <t>VE51314L</t>
        </is>
      </c>
      <c r="B8" s="23" t="inlineStr">
        <is>
          <t>Smart Battery 16.07kWh</t>
        </is>
      </c>
      <c r="C8" s="24" t="n">
        <v>32</v>
      </c>
      <c r="D8" s="24" t="n">
        <v>1560</v>
      </c>
      <c r="E8" s="24" t="n">
        <v>2266</v>
      </c>
      <c r="F8" s="24" t="n">
        <v>2607</v>
      </c>
      <c r="G8" s="24" t="n">
        <v>3129</v>
      </c>
      <c r="H8" s="24" t="n">
        <v>165837</v>
      </c>
    </row>
    <row r="9">
      <c r="A9" s="23" t="inlineStr">
        <is>
          <t>VEH-T20KA3</t>
        </is>
      </c>
      <c r="B9" s="23" t="inlineStr">
        <is>
          <t>3-Phase Inverter 20kW</t>
        </is>
      </c>
      <c r="C9" s="24" t="n">
        <v>24</v>
      </c>
      <c r="D9" s="24" t="n">
        <v>1870</v>
      </c>
      <c r="E9" s="24" t="n">
        <v>2713</v>
      </c>
      <c r="F9" s="24" t="n">
        <v>3121</v>
      </c>
      <c r="G9" s="24" t="n">
        <v>3745</v>
      </c>
      <c r="H9" s="24" t="n">
        <v>198485</v>
      </c>
    </row>
    <row r="10">
      <c r="A10" s="23" t="inlineStr">
        <is>
          <t>HEH-S6KB3</t>
        </is>
      </c>
      <c r="B10" s="23" t="inlineStr">
        <is>
          <t>Hybrid Inverter 6kW</t>
        </is>
      </c>
      <c r="C10" s="24" t="n">
        <v>70</v>
      </c>
      <c r="D10" s="24" t="n">
        <v>390</v>
      </c>
      <c r="E10" s="24" t="n">
        <v>582</v>
      </c>
      <c r="F10" s="24" t="n">
        <v>670</v>
      </c>
      <c r="G10" s="24" t="n">
        <v>804</v>
      </c>
      <c r="H10" s="24" t="n">
        <v>42612</v>
      </c>
    </row>
    <row r="11">
      <c r="A11" s="23" t="inlineStr">
        <is>
          <t>VEP500W</t>
        </is>
      </c>
      <c r="B11" s="23" t="inlineStr">
        <is>
          <t>Rescube Portable 0.5kW/1kWh</t>
        </is>
      </c>
      <c r="C11" s="24" t="n">
        <v>40</v>
      </c>
      <c r="D11" s="24" t="n">
        <v>145</v>
      </c>
      <c r="E11" s="24" t="n">
        <v>229</v>
      </c>
      <c r="F11" s="24" t="n">
        <v>264</v>
      </c>
      <c r="G11" s="24" t="n">
        <v>317</v>
      </c>
      <c r="H11" s="24" t="n">
        <v>16801</v>
      </c>
    </row>
    <row r="12">
      <c r="A12" s="23" t="inlineStr">
        <is>
          <t>VEP1K20</t>
        </is>
      </c>
      <c r="B12" s="23" t="inlineStr">
        <is>
          <t>Rescube All-in-One 1kW/2kWh</t>
        </is>
      </c>
      <c r="C12" s="24" t="n">
        <v>80</v>
      </c>
      <c r="D12" s="24" t="n">
        <v>365</v>
      </c>
      <c r="E12" s="24" t="n">
        <v>546</v>
      </c>
      <c r="F12" s="24" t="n">
        <v>628</v>
      </c>
      <c r="G12" s="24" t="n">
        <v>754</v>
      </c>
      <c r="H12" s="24" t="n">
        <v>39962</v>
      </c>
    </row>
    <row r="13">
      <c r="A13" s="25" t="inlineStr">
        <is>
          <t>CONTAINER TOTALS (340 units)</t>
        </is>
      </c>
      <c r="B13" s="26" t="inlineStr">
        <is>
          <t>40ft FCL China → Alexandria</t>
        </is>
      </c>
      <c r="C13" s="27">
        <f>SUM(C6:C12)</f>
        <v/>
      </c>
      <c r="D13" s="27" t="n">
        <v>232940</v>
      </c>
      <c r="E13" s="27" t="n">
        <v>342316</v>
      </c>
      <c r="F13" s="27" t="n">
        <v>393882</v>
      </c>
      <c r="G13" s="27" t="n">
        <v>472680</v>
      </c>
      <c r="H13" s="19" t="n"/>
    </row>
    <row r="14">
      <c r="A14" s="28" t="inlineStr">
        <is>
          <t>• COGS includes freight (USD 6,865/40ft), 5% duty, 2% GOEIC, handling — the full landed basis.</t>
        </is>
      </c>
    </row>
    <row r="15">
      <c r="A15" s="28" t="inlineStr">
        <is>
          <t>• Margins: wholesale price = COGS ÷ 0.87 (13.1% GM) | retail = COGS ÷ 0.724 (27.6% GM).</t>
        </is>
      </c>
    </row>
    <row r="16">
      <c r="A16" s="28" t="inlineStr">
        <is>
          <t>• Egypt container revenue (50% retail / 50% wholesale): USD 433,281 — GM USD 90,965 (21.0%).</t>
        </is>
      </c>
    </row>
    <row r="17">
      <c r="A17" s="28" t="inlineStr">
        <is>
          <t>• Export container revenue (wholesale): USD 393,882 — GM USD 51,566 (13.1%).</t>
        </is>
      </c>
    </row>
    <row r="19">
      <c r="A19" s="22" t="inlineStr">
        <is>
          <t>B.  AL REEM PLASTICS — container economics (Angola, affiliated supply)</t>
        </is>
      </c>
    </row>
    <row r="20">
      <c r="A20" s="29" t="inlineStr">
        <is>
          <t>Measure</t>
        </is>
      </c>
      <c r="B20" s="30" t="inlineStr">
        <is>
          <t>Value (USD)</t>
        </is>
      </c>
      <c r="C20" s="30" t="inlineStr"/>
      <c r="D20" s="30" t="inlineStr"/>
      <c r="E20" s="30" t="inlineStr"/>
      <c r="F20" s="30" t="inlineStr"/>
      <c r="G20" s="30" t="inlineStr"/>
      <c r="H20" s="30" t="inlineStr"/>
    </row>
    <row r="21">
      <c r="A21" s="9" t="inlineStr">
        <is>
          <t>Units per 40ft container (69 SKUs, Jul-2026 packing list)</t>
        </is>
      </c>
      <c r="B21" s="16" t="n">
        <v>20488</v>
      </c>
    </row>
    <row r="22">
      <c r="A22" s="9" t="inlineStr">
        <is>
          <t>Landed cost per container (30% below price list)</t>
        </is>
      </c>
      <c r="B22" s="16" t="n">
        <v>59343</v>
      </c>
    </row>
    <row r="23">
      <c r="A23" s="9" t="inlineStr">
        <is>
          <t>Retail value per container (margin 30% of revenue)</t>
        </is>
      </c>
      <c r="B23" s="16" t="n">
        <v>84776</v>
      </c>
    </row>
    <row r="24">
      <c r="A24" s="9" t="inlineStr">
        <is>
          <t>Wholesale value per container (margin 20% of revenue)</t>
        </is>
      </c>
      <c r="B24" s="16" t="n">
        <v>74179</v>
      </c>
    </row>
    <row r="25">
      <c r="A25" s="9" t="inlineStr">
        <is>
          <t>Egypt revenue per container (50/50 retail-wholesale)</t>
        </is>
      </c>
      <c r="B25" s="16" t="n">
        <v>79477</v>
      </c>
    </row>
    <row r="26">
      <c r="A26" s="9" t="inlineStr">
        <is>
          <t>Egypt gross profit per container</t>
        </is>
      </c>
      <c r="B26" s="16" t="n">
        <v>20134</v>
      </c>
    </row>
    <row r="27">
      <c r="A27" s="9" t="inlineStr">
        <is>
          <t>Sudan gross profit per container (wholesale)</t>
        </is>
      </c>
      <c r="B27" s="16" t="n">
        <v>14836</v>
      </c>
    </row>
    <row r="28">
      <c r="A28" s="28" t="inlineStr">
        <is>
          <t>Representative retail prices (USD → EGP): 90L waste bin 16.40 → 869 | Clothes drier 28.71 → 1,522 | Laundry basket w/ lid 14.19 → 752 | 8L food container 4.27 → 226.</t>
        </is>
      </c>
    </row>
  </sheetData>
  <mergeCells count="14">
    <mergeCell ref="A27"/>
    <mergeCell ref="A22"/>
    <mergeCell ref="A15:H15"/>
    <mergeCell ref="A26"/>
    <mergeCell ref="A21"/>
    <mergeCell ref="A16:H16"/>
    <mergeCell ref="A2:H2"/>
    <mergeCell ref="A25"/>
    <mergeCell ref="A28:H28"/>
    <mergeCell ref="A24"/>
    <mergeCell ref="A14:H14"/>
    <mergeCell ref="A1:H1"/>
    <mergeCell ref="A23"/>
    <mergeCell ref="A17:H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1" customWidth="1" min="14" max="14"/>
  </cols>
  <sheetData>
    <row r="1">
      <c r="A1" s="1" t="inlineStr">
        <is>
          <t>Staffing Plan &amp; Monthly Payroll (USD)</t>
        </is>
      </c>
    </row>
    <row r="2">
      <c r="A2" s="2" t="inlineStr">
        <is>
          <t>Phased hiring | Base salaries (pre-15% benefits) | Year 1 monthly detail | Years 2–5 annual rosters</t>
        </is>
      </c>
    </row>
    <row r="4">
      <c r="A4" s="31" t="inlineStr">
        <is>
          <t>ROLE</t>
        </is>
      </c>
      <c r="B4" s="32" t="inlineStr">
        <is>
          <t>Monthly
Salary</t>
        </is>
      </c>
      <c r="C4" s="32" t="inlineStr">
        <is>
          <t>Aug-26</t>
        </is>
      </c>
      <c r="D4" s="32" t="inlineStr">
        <is>
          <t>Sep-26</t>
        </is>
      </c>
      <c r="E4" s="32" t="inlineStr">
        <is>
          <t>Oct-26</t>
        </is>
      </c>
      <c r="F4" s="32" t="inlineStr">
        <is>
          <t>Nov-26</t>
        </is>
      </c>
      <c r="G4" s="32" t="inlineStr">
        <is>
          <t>Dec-26</t>
        </is>
      </c>
      <c r="H4" s="32" t="inlineStr">
        <is>
          <t>Jan-27</t>
        </is>
      </c>
      <c r="I4" s="32" t="inlineStr">
        <is>
          <t>Feb-27</t>
        </is>
      </c>
      <c r="J4" s="32" t="inlineStr">
        <is>
          <t>Mar-27</t>
        </is>
      </c>
      <c r="K4" s="32" t="inlineStr">
        <is>
          <t>Apr-27</t>
        </is>
      </c>
      <c r="L4" s="32" t="inlineStr">
        <is>
          <t>May-27</t>
        </is>
      </c>
      <c r="M4" s="32" t="inlineStr">
        <is>
          <t>Jun-27</t>
        </is>
      </c>
      <c r="N4" s="32" t="inlineStr">
        <is>
          <t>Jul-27</t>
        </is>
      </c>
      <c r="O4" s="32" t="inlineStr">
        <is>
          <t>Y1 Total</t>
        </is>
      </c>
    </row>
    <row r="5">
      <c r="A5" s="33" t="inlineStr">
        <is>
          <t>CEO / Director</t>
        </is>
      </c>
      <c r="B5" s="34" t="n">
        <v>8000</v>
      </c>
      <c r="C5" s="34" t="n">
        <v>8000</v>
      </c>
      <c r="D5" s="34" t="n">
        <v>8000</v>
      </c>
      <c r="E5" s="34" t="n">
        <v>8000</v>
      </c>
      <c r="F5" s="34" t="n">
        <v>8000</v>
      </c>
      <c r="G5" s="34" t="n">
        <v>8000</v>
      </c>
      <c r="H5" s="34" t="n">
        <v>8000</v>
      </c>
      <c r="I5" s="34" t="n">
        <v>8000</v>
      </c>
      <c r="J5" s="34" t="n">
        <v>8000</v>
      </c>
      <c r="K5" s="34" t="n">
        <v>8000</v>
      </c>
      <c r="L5" s="34" t="n">
        <v>8000</v>
      </c>
      <c r="M5" s="34" t="n">
        <v>8000</v>
      </c>
      <c r="N5" s="34" t="n">
        <v>8000</v>
      </c>
      <c r="O5" s="35" t="n">
        <v>96000</v>
      </c>
    </row>
    <row r="6">
      <c r="A6" s="33" t="inlineStr">
        <is>
          <t>Financial Manager</t>
        </is>
      </c>
      <c r="B6" s="34" t="n">
        <v>4000</v>
      </c>
      <c r="C6" s="34" t="n">
        <v>4000</v>
      </c>
      <c r="D6" s="34" t="n">
        <v>4000</v>
      </c>
      <c r="E6" s="34" t="n">
        <v>4000</v>
      </c>
      <c r="F6" s="34" t="n">
        <v>4000</v>
      </c>
      <c r="G6" s="34" t="n">
        <v>4000</v>
      </c>
      <c r="H6" s="34" t="n">
        <v>4000</v>
      </c>
      <c r="I6" s="34" t="n">
        <v>4000</v>
      </c>
      <c r="J6" s="34" t="n">
        <v>4000</v>
      </c>
      <c r="K6" s="34" t="n">
        <v>4000</v>
      </c>
      <c r="L6" s="34" t="n">
        <v>4000</v>
      </c>
      <c r="M6" s="34" t="n">
        <v>4000</v>
      </c>
      <c r="N6" s="34" t="n">
        <v>4000</v>
      </c>
      <c r="O6" s="35" t="n">
        <v>48000</v>
      </c>
    </row>
    <row r="7">
      <c r="A7" s="33" t="inlineStr">
        <is>
          <t>Operations Manager</t>
        </is>
      </c>
      <c r="B7" s="34" t="n">
        <v>4000</v>
      </c>
      <c r="C7" s="34" t="n">
        <v>4000</v>
      </c>
      <c r="D7" s="34" t="n">
        <v>4000</v>
      </c>
      <c r="E7" s="34" t="n">
        <v>4000</v>
      </c>
      <c r="F7" s="34" t="n">
        <v>4000</v>
      </c>
      <c r="G7" s="34" t="n">
        <v>4000</v>
      </c>
      <c r="H7" s="34" t="n">
        <v>4000</v>
      </c>
      <c r="I7" s="34" t="n">
        <v>4000</v>
      </c>
      <c r="J7" s="34" t="n">
        <v>4000</v>
      </c>
      <c r="K7" s="34" t="n">
        <v>4000</v>
      </c>
      <c r="L7" s="34" t="n">
        <v>4000</v>
      </c>
      <c r="M7" s="34" t="n">
        <v>4000</v>
      </c>
      <c r="N7" s="34" t="n">
        <v>4000</v>
      </c>
      <c r="O7" s="35" t="n">
        <v>48000</v>
      </c>
    </row>
    <row r="8">
      <c r="A8" s="33" t="inlineStr">
        <is>
          <t>Marketing Manager</t>
        </is>
      </c>
      <c r="B8" s="34" t="n">
        <v>1500</v>
      </c>
      <c r="C8" s="36" t="inlineStr">
        <is>
          <t>–</t>
        </is>
      </c>
      <c r="D8" s="36" t="inlineStr">
        <is>
          <t>–</t>
        </is>
      </c>
      <c r="E8" s="34" t="n">
        <v>1500</v>
      </c>
      <c r="F8" s="34" t="n">
        <v>1500</v>
      </c>
      <c r="G8" s="34" t="n">
        <v>1500</v>
      </c>
      <c r="H8" s="34" t="n">
        <v>1500</v>
      </c>
      <c r="I8" s="34" t="n">
        <v>1500</v>
      </c>
      <c r="J8" s="34" t="n">
        <v>1500</v>
      </c>
      <c r="K8" s="34" t="n">
        <v>1500</v>
      </c>
      <c r="L8" s="34" t="n">
        <v>1500</v>
      </c>
      <c r="M8" s="34" t="n">
        <v>1500</v>
      </c>
      <c r="N8" s="34" t="n">
        <v>1500</v>
      </c>
      <c r="O8" s="35" t="n">
        <v>15000</v>
      </c>
    </row>
    <row r="9">
      <c r="A9" s="33" t="inlineStr">
        <is>
          <t>HR Manager</t>
        </is>
      </c>
      <c r="B9" s="34" t="n">
        <v>1000</v>
      </c>
      <c r="C9" s="36" t="inlineStr">
        <is>
          <t>–</t>
        </is>
      </c>
      <c r="D9" s="36" t="inlineStr">
        <is>
          <t>–</t>
        </is>
      </c>
      <c r="E9" s="34" t="n">
        <v>1000</v>
      </c>
      <c r="F9" s="34" t="n">
        <v>1000</v>
      </c>
      <c r="G9" s="34" t="n">
        <v>1000</v>
      </c>
      <c r="H9" s="34" t="n">
        <v>1000</v>
      </c>
      <c r="I9" s="34" t="n">
        <v>1000</v>
      </c>
      <c r="J9" s="34" t="n">
        <v>1000</v>
      </c>
      <c r="K9" s="34" t="n">
        <v>1000</v>
      </c>
      <c r="L9" s="34" t="n">
        <v>1000</v>
      </c>
      <c r="M9" s="34" t="n">
        <v>1000</v>
      </c>
      <c r="N9" s="34" t="n">
        <v>1000</v>
      </c>
      <c r="O9" s="35" t="n">
        <v>10000</v>
      </c>
    </row>
    <row r="10">
      <c r="A10" s="33" t="inlineStr">
        <is>
          <t>Sales Manager</t>
        </is>
      </c>
      <c r="B10" s="34" t="n">
        <v>3000</v>
      </c>
      <c r="C10" s="36" t="inlineStr">
        <is>
          <t>–</t>
        </is>
      </c>
      <c r="D10" s="34" t="n">
        <v>3000</v>
      </c>
      <c r="E10" s="34" t="n">
        <v>3000</v>
      </c>
      <c r="F10" s="34" t="n">
        <v>3000</v>
      </c>
      <c r="G10" s="34" t="n">
        <v>3000</v>
      </c>
      <c r="H10" s="34" t="n">
        <v>3000</v>
      </c>
      <c r="I10" s="34" t="n">
        <v>3000</v>
      </c>
      <c r="J10" s="34" t="n">
        <v>3000</v>
      </c>
      <c r="K10" s="34" t="n">
        <v>3000</v>
      </c>
      <c r="L10" s="34" t="n">
        <v>3000</v>
      </c>
      <c r="M10" s="34" t="n">
        <v>3000</v>
      </c>
      <c r="N10" s="34" t="n">
        <v>3000</v>
      </c>
      <c r="O10" s="35" t="n">
        <v>33000</v>
      </c>
    </row>
    <row r="11">
      <c r="A11" s="33" t="inlineStr">
        <is>
          <t>Warehouse Manager</t>
        </is>
      </c>
      <c r="B11" s="34" t="n">
        <v>1200</v>
      </c>
      <c r="C11" s="34" t="n">
        <v>1200</v>
      </c>
      <c r="D11" s="34" t="n">
        <v>1200</v>
      </c>
      <c r="E11" s="34" t="n">
        <v>1200</v>
      </c>
      <c r="F11" s="34" t="n">
        <v>1200</v>
      </c>
      <c r="G11" s="34" t="n">
        <v>1200</v>
      </c>
      <c r="H11" s="34" t="n">
        <v>1200</v>
      </c>
      <c r="I11" s="34" t="n">
        <v>1200</v>
      </c>
      <c r="J11" s="34" t="n">
        <v>1200</v>
      </c>
      <c r="K11" s="34" t="n">
        <v>1200</v>
      </c>
      <c r="L11" s="34" t="n">
        <v>1200</v>
      </c>
      <c r="M11" s="34" t="n">
        <v>1200</v>
      </c>
      <c r="N11" s="34" t="n">
        <v>1200</v>
      </c>
      <c r="O11" s="35" t="n">
        <v>14400</v>
      </c>
    </row>
    <row r="12">
      <c r="A12" s="33" t="inlineStr">
        <is>
          <t>Accountant #1</t>
        </is>
      </c>
      <c r="B12" s="34" t="n">
        <v>800</v>
      </c>
      <c r="C12" s="36" t="inlineStr">
        <is>
          <t>–</t>
        </is>
      </c>
      <c r="D12" s="34" t="n">
        <v>800</v>
      </c>
      <c r="E12" s="34" t="n">
        <v>800</v>
      </c>
      <c r="F12" s="34" t="n">
        <v>800</v>
      </c>
      <c r="G12" s="34" t="n">
        <v>800</v>
      </c>
      <c r="H12" s="34" t="n">
        <v>800</v>
      </c>
      <c r="I12" s="34" t="n">
        <v>800</v>
      </c>
      <c r="J12" s="34" t="n">
        <v>800</v>
      </c>
      <c r="K12" s="34" t="n">
        <v>800</v>
      </c>
      <c r="L12" s="34" t="n">
        <v>800</v>
      </c>
      <c r="M12" s="34" t="n">
        <v>800</v>
      </c>
      <c r="N12" s="34" t="n">
        <v>800</v>
      </c>
      <c r="O12" s="35" t="n">
        <v>8800</v>
      </c>
    </row>
    <row r="13">
      <c r="A13" s="33" t="inlineStr">
        <is>
          <t>Accountant #2</t>
        </is>
      </c>
      <c r="B13" s="34" t="n">
        <v>800</v>
      </c>
      <c r="C13" s="36" t="inlineStr">
        <is>
          <t>–</t>
        </is>
      </c>
      <c r="D13" s="36" t="inlineStr">
        <is>
          <t>–</t>
        </is>
      </c>
      <c r="E13" s="36" t="inlineStr">
        <is>
          <t>–</t>
        </is>
      </c>
      <c r="F13" s="36" t="inlineStr">
        <is>
          <t>–</t>
        </is>
      </c>
      <c r="G13" s="36" t="inlineStr">
        <is>
          <t>–</t>
        </is>
      </c>
      <c r="H13" s="36" t="inlineStr">
        <is>
          <t>–</t>
        </is>
      </c>
      <c r="I13" s="36" t="inlineStr">
        <is>
          <t>–</t>
        </is>
      </c>
      <c r="J13" s="34" t="n">
        <v>800</v>
      </c>
      <c r="K13" s="34" t="n">
        <v>800</v>
      </c>
      <c r="L13" s="34" t="n">
        <v>800</v>
      </c>
      <c r="M13" s="34" t="n">
        <v>800</v>
      </c>
      <c r="N13" s="34" t="n">
        <v>800</v>
      </c>
      <c r="O13" s="35" t="n">
        <v>4000</v>
      </c>
    </row>
    <row r="14">
      <c r="A14" s="33" t="inlineStr">
        <is>
          <t>Showroom Manager #1 (6th October)</t>
        </is>
      </c>
      <c r="B14" s="34" t="n">
        <v>500</v>
      </c>
      <c r="C14" s="34" t="n">
        <v>500</v>
      </c>
      <c r="D14" s="34" t="n">
        <v>500</v>
      </c>
      <c r="E14" s="34" t="n">
        <v>500</v>
      </c>
      <c r="F14" s="34" t="n">
        <v>500</v>
      </c>
      <c r="G14" s="34" t="n">
        <v>500</v>
      </c>
      <c r="H14" s="34" t="n">
        <v>500</v>
      </c>
      <c r="I14" s="34" t="n">
        <v>500</v>
      </c>
      <c r="J14" s="34" t="n">
        <v>500</v>
      </c>
      <c r="K14" s="34" t="n">
        <v>500</v>
      </c>
      <c r="L14" s="34" t="n">
        <v>500</v>
      </c>
      <c r="M14" s="34" t="n">
        <v>500</v>
      </c>
      <c r="N14" s="34" t="n">
        <v>500</v>
      </c>
      <c r="O14" s="35" t="n">
        <v>6000</v>
      </c>
    </row>
    <row r="15">
      <c r="A15" s="33" t="inlineStr">
        <is>
          <t>Showroom Manager #2 (New Cairo)</t>
        </is>
      </c>
      <c r="B15" s="34" t="n">
        <v>800</v>
      </c>
      <c r="C15" s="36" t="inlineStr">
        <is>
          <t>–</t>
        </is>
      </c>
      <c r="D15" s="34" t="n">
        <v>800</v>
      </c>
      <c r="E15" s="34" t="n">
        <v>800</v>
      </c>
      <c r="F15" s="34" t="n">
        <v>800</v>
      </c>
      <c r="G15" s="34" t="n">
        <v>800</v>
      </c>
      <c r="H15" s="34" t="n">
        <v>800</v>
      </c>
      <c r="I15" s="34" t="n">
        <v>800</v>
      </c>
      <c r="J15" s="34" t="n">
        <v>800</v>
      </c>
      <c r="K15" s="34" t="n">
        <v>800</v>
      </c>
      <c r="L15" s="34" t="n">
        <v>800</v>
      </c>
      <c r="M15" s="34" t="n">
        <v>800</v>
      </c>
      <c r="N15" s="34" t="n">
        <v>800</v>
      </c>
      <c r="O15" s="35" t="n">
        <v>8800</v>
      </c>
    </row>
    <row r="16">
      <c r="A16" s="33" t="inlineStr">
        <is>
          <t>Sales Staff #1</t>
        </is>
      </c>
      <c r="B16" s="34" t="n">
        <v>600</v>
      </c>
      <c r="C16" s="36" t="inlineStr">
        <is>
          <t>–</t>
        </is>
      </c>
      <c r="D16" s="36" t="inlineStr">
        <is>
          <t>–</t>
        </is>
      </c>
      <c r="E16" s="34" t="n">
        <v>600</v>
      </c>
      <c r="F16" s="34" t="n">
        <v>600</v>
      </c>
      <c r="G16" s="34" t="n">
        <v>600</v>
      </c>
      <c r="H16" s="34" t="n">
        <v>600</v>
      </c>
      <c r="I16" s="34" t="n">
        <v>600</v>
      </c>
      <c r="J16" s="34" t="n">
        <v>600</v>
      </c>
      <c r="K16" s="34" t="n">
        <v>600</v>
      </c>
      <c r="L16" s="34" t="n">
        <v>600</v>
      </c>
      <c r="M16" s="34" t="n">
        <v>600</v>
      </c>
      <c r="N16" s="34" t="n">
        <v>600</v>
      </c>
      <c r="O16" s="35" t="n">
        <v>6000</v>
      </c>
    </row>
    <row r="17">
      <c r="A17" s="33" t="inlineStr">
        <is>
          <t>Sales Staff #2</t>
        </is>
      </c>
      <c r="B17" s="34" t="n">
        <v>600</v>
      </c>
      <c r="C17" s="36" t="inlineStr">
        <is>
          <t>–</t>
        </is>
      </c>
      <c r="D17" s="36" t="inlineStr">
        <is>
          <t>–</t>
        </is>
      </c>
      <c r="E17" s="36" t="inlineStr">
        <is>
          <t>–</t>
        </is>
      </c>
      <c r="F17" s="34" t="n">
        <v>600</v>
      </c>
      <c r="G17" s="34" t="n">
        <v>600</v>
      </c>
      <c r="H17" s="34" t="n">
        <v>600</v>
      </c>
      <c r="I17" s="34" t="n">
        <v>600</v>
      </c>
      <c r="J17" s="34" t="n">
        <v>600</v>
      </c>
      <c r="K17" s="34" t="n">
        <v>600</v>
      </c>
      <c r="L17" s="34" t="n">
        <v>600</v>
      </c>
      <c r="M17" s="34" t="n">
        <v>600</v>
      </c>
      <c r="N17" s="34" t="n">
        <v>600</v>
      </c>
      <c r="O17" s="35" t="n">
        <v>5400</v>
      </c>
    </row>
    <row r="18">
      <c r="A18" s="33" t="inlineStr">
        <is>
          <t>Sales Staff #3</t>
        </is>
      </c>
      <c r="B18" s="34" t="n">
        <v>600</v>
      </c>
      <c r="C18" s="36" t="inlineStr">
        <is>
          <t>–</t>
        </is>
      </c>
      <c r="D18" s="36" t="inlineStr">
        <is>
          <t>–</t>
        </is>
      </c>
      <c r="E18" s="36" t="inlineStr">
        <is>
          <t>–</t>
        </is>
      </c>
      <c r="F18" s="36" t="inlineStr">
        <is>
          <t>–</t>
        </is>
      </c>
      <c r="G18" s="36" t="inlineStr">
        <is>
          <t>–</t>
        </is>
      </c>
      <c r="H18" s="34" t="n">
        <v>600</v>
      </c>
      <c r="I18" s="34" t="n">
        <v>600</v>
      </c>
      <c r="J18" s="34" t="n">
        <v>600</v>
      </c>
      <c r="K18" s="34" t="n">
        <v>600</v>
      </c>
      <c r="L18" s="34" t="n">
        <v>600</v>
      </c>
      <c r="M18" s="34" t="n">
        <v>600</v>
      </c>
      <c r="N18" s="34" t="n">
        <v>600</v>
      </c>
      <c r="O18" s="35" t="n">
        <v>4200</v>
      </c>
    </row>
    <row r="19">
      <c r="A19" s="33" t="inlineStr">
        <is>
          <t>Sales Staff #4</t>
        </is>
      </c>
      <c r="B19" s="34" t="n">
        <v>600</v>
      </c>
      <c r="C19" s="36" t="inlineStr">
        <is>
          <t>–</t>
        </is>
      </c>
      <c r="D19" s="36" t="inlineStr">
        <is>
          <t>–</t>
        </is>
      </c>
      <c r="E19" s="36" t="inlineStr">
        <is>
          <t>–</t>
        </is>
      </c>
      <c r="F19" s="36" t="inlineStr">
        <is>
          <t>–</t>
        </is>
      </c>
      <c r="G19" s="36" t="inlineStr">
        <is>
          <t>–</t>
        </is>
      </c>
      <c r="H19" s="36" t="inlineStr">
        <is>
          <t>–</t>
        </is>
      </c>
      <c r="I19" s="36" t="inlineStr">
        <is>
          <t>–</t>
        </is>
      </c>
      <c r="J19" s="34" t="n">
        <v>600</v>
      </c>
      <c r="K19" s="34" t="n">
        <v>600</v>
      </c>
      <c r="L19" s="34" t="n">
        <v>600</v>
      </c>
      <c r="M19" s="34" t="n">
        <v>600</v>
      </c>
      <c r="N19" s="34" t="n">
        <v>600</v>
      </c>
      <c r="O19" s="35" t="n">
        <v>3000</v>
      </c>
    </row>
    <row r="20">
      <c r="A20" s="33" t="inlineStr">
        <is>
          <t>Driver #1</t>
        </is>
      </c>
      <c r="B20" s="34" t="n">
        <v>500</v>
      </c>
      <c r="C20" s="34" t="n">
        <v>500</v>
      </c>
      <c r="D20" s="34" t="n">
        <v>500</v>
      </c>
      <c r="E20" s="34" t="n">
        <v>500</v>
      </c>
      <c r="F20" s="34" t="n">
        <v>500</v>
      </c>
      <c r="G20" s="34" t="n">
        <v>500</v>
      </c>
      <c r="H20" s="34" t="n">
        <v>500</v>
      </c>
      <c r="I20" s="34" t="n">
        <v>500</v>
      </c>
      <c r="J20" s="34" t="n">
        <v>500</v>
      </c>
      <c r="K20" s="34" t="n">
        <v>500</v>
      </c>
      <c r="L20" s="34" t="n">
        <v>500</v>
      </c>
      <c r="M20" s="34" t="n">
        <v>500</v>
      </c>
      <c r="N20" s="34" t="n">
        <v>500</v>
      </c>
      <c r="O20" s="35" t="n">
        <v>6000</v>
      </c>
    </row>
    <row r="21">
      <c r="A21" s="33" t="inlineStr">
        <is>
          <t>Driver #2</t>
        </is>
      </c>
      <c r="B21" s="34" t="n">
        <v>500</v>
      </c>
      <c r="C21" s="36" t="inlineStr">
        <is>
          <t>–</t>
        </is>
      </c>
      <c r="D21" s="36" t="inlineStr">
        <is>
          <t>–</t>
        </is>
      </c>
      <c r="E21" s="36" t="inlineStr">
        <is>
          <t>–</t>
        </is>
      </c>
      <c r="F21" s="34" t="n">
        <v>500</v>
      </c>
      <c r="G21" s="34" t="n">
        <v>500</v>
      </c>
      <c r="H21" s="34" t="n">
        <v>500</v>
      </c>
      <c r="I21" s="34" t="n">
        <v>500</v>
      </c>
      <c r="J21" s="34" t="n">
        <v>500</v>
      </c>
      <c r="K21" s="34" t="n">
        <v>500</v>
      </c>
      <c r="L21" s="34" t="n">
        <v>500</v>
      </c>
      <c r="M21" s="34" t="n">
        <v>500</v>
      </c>
      <c r="N21" s="34" t="n">
        <v>500</v>
      </c>
      <c r="O21" s="35" t="n">
        <v>4500</v>
      </c>
    </row>
    <row r="22">
      <c r="A22" s="33" t="inlineStr">
        <is>
          <t>Administrative Asst #1</t>
        </is>
      </c>
      <c r="B22" s="34" t="n">
        <v>600</v>
      </c>
      <c r="C22" s="34" t="n">
        <v>600</v>
      </c>
      <c r="D22" s="34" t="n">
        <v>600</v>
      </c>
      <c r="E22" s="34" t="n">
        <v>600</v>
      </c>
      <c r="F22" s="34" t="n">
        <v>600</v>
      </c>
      <c r="G22" s="34" t="n">
        <v>600</v>
      </c>
      <c r="H22" s="34" t="n">
        <v>600</v>
      </c>
      <c r="I22" s="34" t="n">
        <v>600</v>
      </c>
      <c r="J22" s="34" t="n">
        <v>600</v>
      </c>
      <c r="K22" s="34" t="n">
        <v>600</v>
      </c>
      <c r="L22" s="34" t="n">
        <v>600</v>
      </c>
      <c r="M22" s="34" t="n">
        <v>600</v>
      </c>
      <c r="N22" s="34" t="n">
        <v>600</v>
      </c>
      <c r="O22" s="35" t="n">
        <v>7200</v>
      </c>
    </row>
    <row r="23">
      <c r="A23" s="33" t="inlineStr">
        <is>
          <t>Administrative Asst #2</t>
        </is>
      </c>
      <c r="B23" s="34" t="n">
        <v>600</v>
      </c>
      <c r="C23" s="36" t="inlineStr">
        <is>
          <t>–</t>
        </is>
      </c>
      <c r="D23" s="36" t="inlineStr">
        <is>
          <t>–</t>
        </is>
      </c>
      <c r="E23" s="36" t="inlineStr">
        <is>
          <t>–</t>
        </is>
      </c>
      <c r="F23" s="36" t="inlineStr">
        <is>
          <t>–</t>
        </is>
      </c>
      <c r="G23" s="36" t="inlineStr">
        <is>
          <t>–</t>
        </is>
      </c>
      <c r="H23" s="34" t="n">
        <v>600</v>
      </c>
      <c r="I23" s="34" t="n">
        <v>600</v>
      </c>
      <c r="J23" s="34" t="n">
        <v>600</v>
      </c>
      <c r="K23" s="34" t="n">
        <v>600</v>
      </c>
      <c r="L23" s="34" t="n">
        <v>600</v>
      </c>
      <c r="M23" s="34" t="n">
        <v>600</v>
      </c>
      <c r="N23" s="34" t="n">
        <v>600</v>
      </c>
      <c r="O23" s="35" t="n">
        <v>4200</v>
      </c>
    </row>
    <row r="24">
      <c r="A24" s="33" t="inlineStr">
        <is>
          <t>Warehouse Staff #1</t>
        </is>
      </c>
      <c r="B24" s="34" t="n">
        <v>600</v>
      </c>
      <c r="C24" s="36" t="inlineStr">
        <is>
          <t>–</t>
        </is>
      </c>
      <c r="D24" s="36" t="inlineStr">
        <is>
          <t>–</t>
        </is>
      </c>
      <c r="E24" s="36" t="inlineStr">
        <is>
          <t>–</t>
        </is>
      </c>
      <c r="F24" s="34" t="n">
        <v>600</v>
      </c>
      <c r="G24" s="34" t="n">
        <v>600</v>
      </c>
      <c r="H24" s="34" t="n">
        <v>600</v>
      </c>
      <c r="I24" s="34" t="n">
        <v>600</v>
      </c>
      <c r="J24" s="34" t="n">
        <v>600</v>
      </c>
      <c r="K24" s="34" t="n">
        <v>600</v>
      </c>
      <c r="L24" s="34" t="n">
        <v>600</v>
      </c>
      <c r="M24" s="34" t="n">
        <v>600</v>
      </c>
      <c r="N24" s="34" t="n">
        <v>600</v>
      </c>
      <c r="O24" s="35" t="n">
        <v>5400</v>
      </c>
    </row>
    <row r="25">
      <c r="A25" s="33" t="inlineStr">
        <is>
          <t>Warehouse Staff #2</t>
        </is>
      </c>
      <c r="B25" s="34" t="n">
        <v>600</v>
      </c>
      <c r="C25" s="36" t="inlineStr">
        <is>
          <t>–</t>
        </is>
      </c>
      <c r="D25" s="36" t="inlineStr">
        <is>
          <t>–</t>
        </is>
      </c>
      <c r="E25" s="36" t="inlineStr">
        <is>
          <t>–</t>
        </is>
      </c>
      <c r="F25" s="36" t="inlineStr">
        <is>
          <t>–</t>
        </is>
      </c>
      <c r="G25" s="36" t="inlineStr">
        <is>
          <t>–</t>
        </is>
      </c>
      <c r="H25" s="36" t="inlineStr">
        <is>
          <t>–</t>
        </is>
      </c>
      <c r="I25" s="36" t="inlineStr">
        <is>
          <t>–</t>
        </is>
      </c>
      <c r="J25" s="34" t="n">
        <v>600</v>
      </c>
      <c r="K25" s="34" t="n">
        <v>600</v>
      </c>
      <c r="L25" s="34" t="n">
        <v>600</v>
      </c>
      <c r="M25" s="34" t="n">
        <v>600</v>
      </c>
      <c r="N25" s="34" t="n">
        <v>600</v>
      </c>
      <c r="O25" s="35" t="n">
        <v>3000</v>
      </c>
    </row>
    <row r="26">
      <c r="A26" s="26" t="inlineStr">
        <is>
          <t>TOTAL BASE SALARIES</t>
        </is>
      </c>
      <c r="B26" s="19" t="n"/>
      <c r="C26" s="37">
        <f>SUM(C5:C25)</f>
        <v/>
      </c>
      <c r="D26" s="37">
        <f>SUM(D5:D25)</f>
        <v/>
      </c>
      <c r="E26" s="37">
        <f>SUM(E5:E25)</f>
        <v/>
      </c>
      <c r="F26" s="37">
        <f>SUM(F5:F25)</f>
        <v/>
      </c>
      <c r="G26" s="37">
        <f>SUM(G5:G25)</f>
        <v/>
      </c>
      <c r="H26" s="37">
        <f>SUM(H5:H25)</f>
        <v/>
      </c>
      <c r="I26" s="37">
        <f>SUM(I5:I25)</f>
        <v/>
      </c>
      <c r="J26" s="37">
        <f>SUM(J5:J25)</f>
        <v/>
      </c>
      <c r="K26" s="37">
        <f>SUM(K5:K25)</f>
        <v/>
      </c>
      <c r="L26" s="37">
        <f>SUM(L5:L25)</f>
        <v/>
      </c>
      <c r="M26" s="37">
        <f>SUM(M5:M25)</f>
        <v/>
      </c>
      <c r="N26" s="37">
        <f>SUM(N5:N25)</f>
        <v/>
      </c>
      <c r="O26" s="37">
        <f>SUM(O5:O25)</f>
        <v/>
      </c>
    </row>
    <row r="27">
      <c r="A27" s="33" t="inlineStr">
        <is>
          <t>Social Insurance &amp; Benefits (15%)</t>
        </is>
      </c>
      <c r="B27" s="38" t="n"/>
      <c r="C27" s="34">
        <f>C26*0.15</f>
        <v/>
      </c>
      <c r="D27" s="34">
        <f>D26*0.15</f>
        <v/>
      </c>
      <c r="E27" s="34">
        <f>E26*0.15</f>
        <v/>
      </c>
      <c r="F27" s="34">
        <f>F26*0.15</f>
        <v/>
      </c>
      <c r="G27" s="34">
        <f>G26*0.15</f>
        <v/>
      </c>
      <c r="H27" s="34">
        <f>H26*0.15</f>
        <v/>
      </c>
      <c r="I27" s="34">
        <f>I26*0.15</f>
        <v/>
      </c>
      <c r="J27" s="34">
        <f>J26*0.15</f>
        <v/>
      </c>
      <c r="K27" s="34">
        <f>K26*0.15</f>
        <v/>
      </c>
      <c r="L27" s="34">
        <f>L26*0.15</f>
        <v/>
      </c>
      <c r="M27" s="34">
        <f>M26*0.15</f>
        <v/>
      </c>
      <c r="N27" s="34">
        <f>N26*0.15</f>
        <v/>
      </c>
      <c r="O27" s="35">
        <f>O26*0.15</f>
        <v/>
      </c>
    </row>
    <row r="28">
      <c r="A28" s="39" t="inlineStr">
        <is>
          <t>TOTAL PERSONNEL (base + benefits)</t>
        </is>
      </c>
      <c r="B28" s="40" t="n"/>
      <c r="C28" s="41">
        <f>C26*1.15</f>
        <v/>
      </c>
      <c r="D28" s="41">
        <f>D26*1.15</f>
        <v/>
      </c>
      <c r="E28" s="41">
        <f>E26*1.15</f>
        <v/>
      </c>
      <c r="F28" s="41">
        <f>F26*1.15</f>
        <v/>
      </c>
      <c r="G28" s="41">
        <f>G26*1.15</f>
        <v/>
      </c>
      <c r="H28" s="41">
        <f>H26*1.15</f>
        <v/>
      </c>
      <c r="I28" s="41">
        <f>I26*1.15</f>
        <v/>
      </c>
      <c r="J28" s="41">
        <f>J26*1.15</f>
        <v/>
      </c>
      <c r="K28" s="41">
        <f>K26*1.15</f>
        <v/>
      </c>
      <c r="L28" s="41">
        <f>L26*1.15</f>
        <v/>
      </c>
      <c r="M28" s="41">
        <f>M26*1.15</f>
        <v/>
      </c>
      <c r="N28" s="41">
        <f>N26*1.15</f>
        <v/>
      </c>
      <c r="O28" s="41">
        <f>O26*1.15</f>
        <v/>
      </c>
    </row>
    <row r="30">
      <c r="A30" s="28" t="inlineStr">
        <is>
          <t>Sales commissions (4% of Egypt sales, both divisions) are variable pay on top — see Monthly P&amp;L. Headcount reaches 21 by Month 12.</t>
        </is>
      </c>
    </row>
    <row r="32">
      <c r="A32" s="42" t="inlineStr">
        <is>
          <t>YEAR 2 (Aug 2027 – Jul 2028) — 26 staff</t>
        </is>
      </c>
    </row>
    <row r="33" ht="24" customHeight="1">
      <c r="A33" s="43" t="inlineStr">
        <is>
          <t>Additions</t>
        </is>
      </c>
      <c r="B33" s="44" t="inlineStr">
        <is>
          <t>+ Administrative Asst #3, Logistics Coordinator, Sales Staff #5–6, Customer Service Manager, Technical Specialist, Driver #3</t>
        </is>
      </c>
    </row>
    <row r="34">
      <c r="A34" s="33" t="inlineStr">
        <is>
          <t>Total base salaries (annual)</t>
        </is>
      </c>
      <c r="B34" s="34" t="n">
        <v>435600</v>
      </c>
    </row>
    <row r="35">
      <c r="A35" s="33" t="inlineStr">
        <is>
          <t>Social insurance &amp; benefits (15%)</t>
        </is>
      </c>
      <c r="B35" s="34" t="n">
        <v>65340</v>
      </c>
    </row>
    <row r="36">
      <c r="A36" s="33" t="inlineStr">
        <is>
          <t>Personnel sub-total</t>
        </is>
      </c>
      <c r="B36" s="34" t="n">
        <v>500940</v>
      </c>
    </row>
    <row r="37">
      <c r="A37" s="33" t="inlineStr">
        <is>
          <t>Sales commissions (4% of Egypt sales USD 3,986,694)</t>
        </is>
      </c>
      <c r="B37" s="34" t="n">
        <v>159468</v>
      </c>
    </row>
    <row r="38">
      <c r="A38" s="45" t="inlineStr">
        <is>
          <t>TOTAL ANNUAL PERSONNEL COST</t>
        </is>
      </c>
      <c r="B38" s="37" t="n">
        <v>660408</v>
      </c>
    </row>
    <row r="40">
      <c r="A40" s="42" t="inlineStr">
        <is>
          <t>YEAR 3 (Aug 2028 – Jul 2029) — 35 staff</t>
        </is>
      </c>
    </row>
    <row r="41" ht="24" customHeight="1">
      <c r="A41" s="43" t="inlineStr">
        <is>
          <t>Additions</t>
        </is>
      </c>
      <c r="B41" s="44" t="inlineStr">
        <is>
          <t>+ Alexandria Branch (manager, 2 sales, admin), Finance Analyst, Supply Chain Analyst, Senior Sales Executive, Installation Engineers #1–2</t>
        </is>
      </c>
    </row>
    <row r="42">
      <c r="A42" s="33" t="inlineStr">
        <is>
          <t>Total base salaries (annual)</t>
        </is>
      </c>
      <c r="B42" s="34" t="n">
        <v>555600</v>
      </c>
    </row>
    <row r="43">
      <c r="A43" s="33" t="inlineStr">
        <is>
          <t>Social insurance &amp; benefits (15%)</t>
        </is>
      </c>
      <c r="B43" s="34" t="n">
        <v>83340</v>
      </c>
    </row>
    <row r="44">
      <c r="A44" s="33" t="inlineStr">
        <is>
          <t>Personnel sub-total</t>
        </is>
      </c>
      <c r="B44" s="34" t="n">
        <v>638940</v>
      </c>
    </row>
    <row r="45">
      <c r="A45" s="33" t="inlineStr">
        <is>
          <t>Sales commissions (4% of Egypt sales USD 5,091,687)</t>
        </is>
      </c>
      <c r="B45" s="34" t="n">
        <v>203667</v>
      </c>
    </row>
    <row r="46">
      <c r="A46" s="45" t="inlineStr">
        <is>
          <t>TOTAL ANNUAL PERSONNEL COST</t>
        </is>
      </c>
      <c r="B46" s="37" t="n">
        <v>842607</v>
      </c>
    </row>
    <row r="48">
      <c r="A48" s="42" t="inlineStr">
        <is>
          <t>YEAR 4 (Aug 2029 – Jul 2030) — 44 staff</t>
        </is>
      </c>
    </row>
    <row r="49" ht="24" customHeight="1">
      <c r="A49" s="43" t="inlineStr">
        <is>
          <t>Additions</t>
        </is>
      </c>
      <c r="B49" s="44" t="inlineStr">
        <is>
          <t>+ B2G/Tenders Manager, C&amp;I Sales Manager + 2 staff, Senior Accountant, IT/CRM Administrator, Warehouse Staff #3, Maintenance Technician, Sudan Market Coordinator</t>
        </is>
      </c>
    </row>
    <row r="50">
      <c r="A50" s="33" t="inlineStr">
        <is>
          <t>Total base salaries (annual)</t>
        </is>
      </c>
      <c r="B50" s="34" t="n">
        <v>690000</v>
      </c>
    </row>
    <row r="51">
      <c r="A51" s="33" t="inlineStr">
        <is>
          <t>Social insurance &amp; benefits (15%)</t>
        </is>
      </c>
      <c r="B51" s="34" t="n">
        <v>103500</v>
      </c>
    </row>
    <row r="52">
      <c r="A52" s="33" t="inlineStr">
        <is>
          <t>Personnel sub-total</t>
        </is>
      </c>
      <c r="B52" s="34" t="n">
        <v>793500</v>
      </c>
    </row>
    <row r="53">
      <c r="A53" s="33" t="inlineStr">
        <is>
          <t>Sales commissions (4% of Egypt sales USD 6,196,681)</t>
        </is>
      </c>
      <c r="B53" s="34" t="n">
        <v>247867</v>
      </c>
    </row>
    <row r="54">
      <c r="A54" s="45" t="inlineStr">
        <is>
          <t>TOTAL ANNUAL PERSONNEL COST</t>
        </is>
      </c>
      <c r="B54" s="37" t="n">
        <v>1041367</v>
      </c>
    </row>
    <row r="56">
      <c r="A56" s="42" t="inlineStr">
        <is>
          <t>YEAR 5 (Aug 2030 – Jul 2031) — 55 staff (senior raises applied)</t>
        </is>
      </c>
    </row>
    <row r="57" ht="24" customHeight="1">
      <c r="A57" s="43" t="inlineStr">
        <is>
          <t>Additions</t>
        </is>
      </c>
      <c r="B57" s="44" t="inlineStr">
        <is>
          <t>+ Libya Market Manager, Senior Marketing Manager, Sales Supervisor, C&amp;I Sales #3–4, Field Engineers #3–4, Legal &amp; Compliance, CRM &amp; Digital Marketing Specialists, Driver #4</t>
        </is>
      </c>
    </row>
    <row r="58">
      <c r="A58" s="33" t="inlineStr">
        <is>
          <t>Total base salaries (annual)</t>
        </is>
      </c>
      <c r="B58" s="34" t="n">
        <v>942000</v>
      </c>
    </row>
    <row r="59">
      <c r="A59" s="33" t="inlineStr">
        <is>
          <t>Social insurance &amp; benefits (15%)</t>
        </is>
      </c>
      <c r="B59" s="34" t="n">
        <v>141300</v>
      </c>
    </row>
    <row r="60">
      <c r="A60" s="33" t="inlineStr">
        <is>
          <t>Personnel sub-total</t>
        </is>
      </c>
      <c r="B60" s="34" t="n">
        <v>1083300</v>
      </c>
    </row>
    <row r="61">
      <c r="A61" s="33" t="inlineStr">
        <is>
          <t>Sales commissions (4% of Egypt sales USD 8,088,760)</t>
        </is>
      </c>
      <c r="B61" s="34" t="n">
        <v>323550</v>
      </c>
    </row>
    <row r="62">
      <c r="A62" s="45" t="inlineStr">
        <is>
          <t>TOTAL ANNUAL PERSONNEL COST</t>
        </is>
      </c>
      <c r="B62" s="37" t="n">
        <v>1406850</v>
      </c>
    </row>
  </sheetData>
  <mergeCells count="11">
    <mergeCell ref="B41:O41"/>
    <mergeCell ref="B57:O57"/>
    <mergeCell ref="B49:O49"/>
    <mergeCell ref="A2:N2"/>
    <mergeCell ref="B33:O33"/>
    <mergeCell ref="A32:O32"/>
    <mergeCell ref="A40:O40"/>
    <mergeCell ref="A56:O56"/>
    <mergeCell ref="A48:O48"/>
    <mergeCell ref="A30:O30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2" customWidth="1" min="14" max="14"/>
  </cols>
  <sheetData>
    <row r="1">
      <c r="A1" s="1" t="inlineStr">
        <is>
          <t>Monthly Profit &amp; Loss Statement — Year 1 (August 2026 – July 2027)</t>
        </is>
      </c>
    </row>
    <row r="2">
      <c r="A2" s="2" t="inlineStr">
        <is>
          <t>Both divisions | USD | Egypt COGS: Vestwoods 79.0% blended, Al Reem 74.7% blended | Exports wholesale: Vestwoods 87%, Al Reem 80%</t>
        </is>
      </c>
    </row>
    <row r="4">
      <c r="A4" s="46" t="inlineStr">
        <is>
          <t>DESCRIPTION</t>
        </is>
      </c>
      <c r="B4" s="47" t="inlineStr">
        <is>
          <t>Aug-26</t>
        </is>
      </c>
      <c r="C4" s="47" t="inlineStr">
        <is>
          <t>Sep-26</t>
        </is>
      </c>
      <c r="D4" s="47" t="inlineStr">
        <is>
          <t>Oct-26</t>
        </is>
      </c>
      <c r="E4" s="47" t="inlineStr">
        <is>
          <t>Nov-26</t>
        </is>
      </c>
      <c r="F4" s="47" t="inlineStr">
        <is>
          <t>Dec-26</t>
        </is>
      </c>
      <c r="G4" s="47" t="inlineStr">
        <is>
          <t>Jan-27</t>
        </is>
      </c>
      <c r="H4" s="47" t="inlineStr">
        <is>
          <t>Feb-27</t>
        </is>
      </c>
      <c r="I4" s="47" t="inlineStr">
        <is>
          <t>Mar-27</t>
        </is>
      </c>
      <c r="J4" s="47" t="inlineStr">
        <is>
          <t>Apr-27</t>
        </is>
      </c>
      <c r="K4" s="47" t="inlineStr">
        <is>
          <t>May-27</t>
        </is>
      </c>
      <c r="L4" s="47" t="inlineStr">
        <is>
          <t>Jun-27</t>
        </is>
      </c>
      <c r="M4" s="47" t="inlineStr">
        <is>
          <t>Jul-27</t>
        </is>
      </c>
      <c r="N4" s="47" t="inlineStr">
        <is>
          <t>TOTAL
Year 1</t>
        </is>
      </c>
    </row>
    <row r="5">
      <c r="A5" s="48" t="inlineStr">
        <is>
          <t>REVENUE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</row>
    <row r="6">
      <c r="A6" s="49" t="inlineStr">
        <is>
          <t>Egypt — Vestwoods (6 containers)</t>
        </is>
      </c>
      <c r="B6" s="50" t="n">
        <v>0</v>
      </c>
      <c r="C6" s="50" t="n">
        <v>60005</v>
      </c>
      <c r="D6" s="50" t="n">
        <v>119492</v>
      </c>
      <c r="E6" s="50" t="n">
        <v>200016</v>
      </c>
      <c r="F6" s="50" t="n">
        <v>220017</v>
      </c>
      <c r="G6" s="50" t="n">
        <v>230018</v>
      </c>
      <c r="H6" s="50" t="n">
        <v>220017</v>
      </c>
      <c r="I6" s="50" t="n">
        <v>230018</v>
      </c>
      <c r="J6" s="50" t="n">
        <v>270021</v>
      </c>
      <c r="K6" s="50" t="n">
        <v>300023</v>
      </c>
      <c r="L6" s="50" t="n">
        <v>350027</v>
      </c>
      <c r="M6" s="50" t="n">
        <v>400032</v>
      </c>
      <c r="N6" s="51">
        <f>SUM(B6:M6)</f>
        <v/>
      </c>
    </row>
    <row r="7">
      <c r="A7" s="49" t="inlineStr">
        <is>
          <t>Egypt — Al Reem Plastics (10 containers)</t>
        </is>
      </c>
      <c r="B7" s="50" t="n">
        <v>0</v>
      </c>
      <c r="C7" s="50" t="n">
        <v>0</v>
      </c>
      <c r="D7" s="50" t="n">
        <v>79477</v>
      </c>
      <c r="E7" s="50" t="n">
        <v>79477</v>
      </c>
      <c r="F7" s="50" t="n">
        <v>79477</v>
      </c>
      <c r="G7" s="50" t="n">
        <v>79477</v>
      </c>
      <c r="H7" s="50" t="n">
        <v>79477</v>
      </c>
      <c r="I7" s="50" t="n">
        <v>79477</v>
      </c>
      <c r="J7" s="50" t="n">
        <v>79477</v>
      </c>
      <c r="K7" s="50" t="n">
        <v>79477</v>
      </c>
      <c r="L7" s="50" t="n">
        <v>79477</v>
      </c>
      <c r="M7" s="50" t="n">
        <v>79477</v>
      </c>
      <c r="N7" s="51">
        <f>SUM(B7:M7)</f>
        <v/>
      </c>
    </row>
    <row r="8">
      <c r="A8" s="49" t="inlineStr">
        <is>
          <t>Sudan — Vestwoods (4 containers)</t>
        </is>
      </c>
      <c r="B8" s="50" t="n">
        <v>0</v>
      </c>
      <c r="C8" s="50" t="n">
        <v>0</v>
      </c>
      <c r="D8" s="50" t="n">
        <v>0</v>
      </c>
      <c r="E8" s="50" t="n">
        <v>0</v>
      </c>
      <c r="F8" s="50" t="n">
        <v>0</v>
      </c>
      <c r="G8" s="50" t="n">
        <v>393882</v>
      </c>
      <c r="H8" s="50" t="n">
        <v>0</v>
      </c>
      <c r="I8" s="50" t="n">
        <v>393882</v>
      </c>
      <c r="J8" s="50" t="n">
        <v>0</v>
      </c>
      <c r="K8" s="50" t="n">
        <v>393882</v>
      </c>
      <c r="L8" s="50" t="n">
        <v>0</v>
      </c>
      <c r="M8" s="50" t="n">
        <v>393882</v>
      </c>
      <c r="N8" s="51">
        <f>SUM(B8:M8)</f>
        <v/>
      </c>
    </row>
    <row r="9">
      <c r="A9" s="49" t="inlineStr">
        <is>
          <t>Sudan — Al Reem Plastics (5 containers)</t>
        </is>
      </c>
      <c r="B9" s="50" t="n">
        <v>0</v>
      </c>
      <c r="C9" s="50" t="n">
        <v>0</v>
      </c>
      <c r="D9" s="50" t="n">
        <v>0</v>
      </c>
      <c r="E9" s="50" t="n">
        <v>74179</v>
      </c>
      <c r="F9" s="50" t="n">
        <v>0</v>
      </c>
      <c r="G9" s="50" t="n">
        <v>74179</v>
      </c>
      <c r="H9" s="50" t="n">
        <v>0</v>
      </c>
      <c r="I9" s="50" t="n">
        <v>74179</v>
      </c>
      <c r="J9" s="50" t="n">
        <v>0</v>
      </c>
      <c r="K9" s="50" t="n">
        <v>74179</v>
      </c>
      <c r="L9" s="50" t="n">
        <v>0</v>
      </c>
      <c r="M9" s="50" t="n">
        <v>74179</v>
      </c>
      <c r="N9" s="51">
        <f>SUM(B9:M9)</f>
        <v/>
      </c>
    </row>
    <row r="10">
      <c r="A10" s="49" t="inlineStr">
        <is>
          <t>Algeria — Vestwoods, 100% LC (3 containers)</t>
        </is>
      </c>
      <c r="B10" s="50" t="n">
        <v>0</v>
      </c>
      <c r="C10" s="50" t="n">
        <v>0</v>
      </c>
      <c r="D10" s="50" t="n">
        <v>0</v>
      </c>
      <c r="E10" s="50" t="n">
        <v>0</v>
      </c>
      <c r="F10" s="50" t="n">
        <v>0</v>
      </c>
      <c r="G10" s="50" t="n">
        <v>0</v>
      </c>
      <c r="H10" s="50" t="n">
        <v>0</v>
      </c>
      <c r="I10" s="50" t="n">
        <v>393882</v>
      </c>
      <c r="J10" s="50" t="n">
        <v>0</v>
      </c>
      <c r="K10" s="50" t="n">
        <v>393882</v>
      </c>
      <c r="L10" s="50" t="n">
        <v>0</v>
      </c>
      <c r="M10" s="50" t="n">
        <v>393882</v>
      </c>
      <c r="N10" s="51">
        <f>SUM(B10:M10)</f>
        <v/>
      </c>
    </row>
    <row r="11">
      <c r="A11" s="52" t="inlineStr">
        <is>
          <t>TOTAL REVENUE</t>
        </is>
      </c>
      <c r="B11" s="51" t="n">
        <v>0</v>
      </c>
      <c r="C11" s="51" t="n">
        <v>60005</v>
      </c>
      <c r="D11" s="51" t="n">
        <v>198969</v>
      </c>
      <c r="E11" s="51" t="n">
        <v>353672</v>
      </c>
      <c r="F11" s="51" t="n">
        <v>299494</v>
      </c>
      <c r="G11" s="51" t="n">
        <v>777556</v>
      </c>
      <c r="H11" s="51" t="n">
        <v>299494</v>
      </c>
      <c r="I11" s="51" t="n">
        <v>1171438</v>
      </c>
      <c r="J11" s="51" t="n">
        <v>349498</v>
      </c>
      <c r="K11" s="51" t="n">
        <v>1241443</v>
      </c>
      <c r="L11" s="51" t="n">
        <v>429504</v>
      </c>
      <c r="M11" s="51" t="n">
        <v>1341452</v>
      </c>
      <c r="N11" s="51">
        <f>SUM(B11:M11)</f>
        <v/>
      </c>
    </row>
    <row r="12">
      <c r="A12" s="48" t="inlineStr">
        <is>
          <t>COST OF GOODS SOLD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</row>
    <row r="13">
      <c r="A13" s="49" t="inlineStr">
        <is>
          <t>Vestwoods Egypt COGS (79.0% — 50% retail / 50% wholesale)</t>
        </is>
      </c>
      <c r="B13" s="50" t="n">
        <v>0</v>
      </c>
      <c r="C13" s="50" t="n">
        <v>47407</v>
      </c>
      <c r="D13" s="50" t="n">
        <v>94405</v>
      </c>
      <c r="E13" s="50" t="n">
        <v>158024</v>
      </c>
      <c r="F13" s="50" t="n">
        <v>173826</v>
      </c>
      <c r="G13" s="50" t="n">
        <v>181727</v>
      </c>
      <c r="H13" s="50" t="n">
        <v>173826</v>
      </c>
      <c r="I13" s="50" t="n">
        <v>181727</v>
      </c>
      <c r="J13" s="50" t="n">
        <v>213332</v>
      </c>
      <c r="K13" s="50" t="n">
        <v>237035</v>
      </c>
      <c r="L13" s="50" t="n">
        <v>276541</v>
      </c>
      <c r="M13" s="50" t="n">
        <v>316047</v>
      </c>
      <c r="N13" s="51">
        <f>SUM(B13:M13)</f>
        <v/>
      </c>
    </row>
    <row r="14">
      <c r="A14" s="49" t="inlineStr">
        <is>
          <t>Al Reem Egypt COGS (74.7% — 50% retail / 50% wholesale)</t>
        </is>
      </c>
      <c r="B14" s="50" t="n">
        <v>0</v>
      </c>
      <c r="C14" s="50" t="n">
        <v>0</v>
      </c>
      <c r="D14" s="50" t="n">
        <v>59343</v>
      </c>
      <c r="E14" s="50" t="n">
        <v>59343</v>
      </c>
      <c r="F14" s="50" t="n">
        <v>59343</v>
      </c>
      <c r="G14" s="50" t="n">
        <v>59343</v>
      </c>
      <c r="H14" s="50" t="n">
        <v>59343</v>
      </c>
      <c r="I14" s="50" t="n">
        <v>59343</v>
      </c>
      <c r="J14" s="50" t="n">
        <v>59343</v>
      </c>
      <c r="K14" s="50" t="n">
        <v>59343</v>
      </c>
      <c r="L14" s="50" t="n">
        <v>59343</v>
      </c>
      <c r="M14" s="50" t="n">
        <v>59343</v>
      </c>
      <c r="N14" s="51">
        <f>SUM(B14:M14)</f>
        <v/>
      </c>
    </row>
    <row r="15">
      <c r="A15" s="49" t="inlineStr">
        <is>
          <t>Vestwoods export COGS (87% wholesale)</t>
        </is>
      </c>
      <c r="B15" s="50" t="n">
        <v>0</v>
      </c>
      <c r="C15" s="50" t="n">
        <v>0</v>
      </c>
      <c r="D15" s="50" t="n">
        <v>0</v>
      </c>
      <c r="E15" s="50" t="n">
        <v>0</v>
      </c>
      <c r="F15" s="50" t="n">
        <v>0</v>
      </c>
      <c r="G15" s="50" t="n">
        <v>342316</v>
      </c>
      <c r="H15" s="50" t="n">
        <v>0</v>
      </c>
      <c r="I15" s="50" t="n">
        <v>684632</v>
      </c>
      <c r="J15" s="50" t="n">
        <v>0</v>
      </c>
      <c r="K15" s="50" t="n">
        <v>684632</v>
      </c>
      <c r="L15" s="50" t="n">
        <v>0</v>
      </c>
      <c r="M15" s="50" t="n">
        <v>684632</v>
      </c>
      <c r="N15" s="51">
        <f>SUM(B15:M15)</f>
        <v/>
      </c>
    </row>
    <row r="16">
      <c r="A16" s="49" t="inlineStr">
        <is>
          <t>Al Reem Sudan COGS (80% wholesale)</t>
        </is>
      </c>
      <c r="B16" s="50" t="n">
        <v>0</v>
      </c>
      <c r="C16" s="50" t="n">
        <v>0</v>
      </c>
      <c r="D16" s="50" t="n">
        <v>0</v>
      </c>
      <c r="E16" s="50" t="n">
        <v>59343</v>
      </c>
      <c r="F16" s="50" t="n">
        <v>0</v>
      </c>
      <c r="G16" s="50" t="n">
        <v>59343</v>
      </c>
      <c r="H16" s="50" t="n">
        <v>0</v>
      </c>
      <c r="I16" s="50" t="n">
        <v>59343</v>
      </c>
      <c r="J16" s="50" t="n">
        <v>0</v>
      </c>
      <c r="K16" s="50" t="n">
        <v>59343</v>
      </c>
      <c r="L16" s="50" t="n">
        <v>0</v>
      </c>
      <c r="M16" s="50" t="n">
        <v>59343</v>
      </c>
      <c r="N16" s="51">
        <f>SUM(B16:M16)</f>
        <v/>
      </c>
    </row>
    <row r="17">
      <c r="A17" s="52" t="inlineStr">
        <is>
          <t>TOTAL COGS</t>
        </is>
      </c>
      <c r="B17" s="51" t="n">
        <v>0</v>
      </c>
      <c r="C17" s="51" t="n">
        <v>47407</v>
      </c>
      <c r="D17" s="51" t="n">
        <v>153748</v>
      </c>
      <c r="E17" s="51" t="n">
        <v>276710</v>
      </c>
      <c r="F17" s="51" t="n">
        <v>233169</v>
      </c>
      <c r="G17" s="51" t="n">
        <v>642729</v>
      </c>
      <c r="H17" s="51" t="n">
        <v>233169</v>
      </c>
      <c r="I17" s="51" t="n">
        <v>985045</v>
      </c>
      <c r="J17" s="51" t="n">
        <v>272675</v>
      </c>
      <c r="K17" s="51" t="n">
        <v>1040353</v>
      </c>
      <c r="L17" s="51" t="n">
        <v>335884</v>
      </c>
      <c r="M17" s="51" t="n">
        <v>1119365</v>
      </c>
      <c r="N17" s="51">
        <f>SUM(B17:M17)</f>
        <v/>
      </c>
    </row>
    <row r="18">
      <c r="A18" s="53" t="inlineStr">
        <is>
          <t>GROSS PROFIT</t>
        </is>
      </c>
      <c r="B18" s="54" t="n">
        <v>0</v>
      </c>
      <c r="C18" s="54" t="n">
        <v>12598</v>
      </c>
      <c r="D18" s="54" t="n">
        <v>45221</v>
      </c>
      <c r="E18" s="54" t="n">
        <v>76962</v>
      </c>
      <c r="F18" s="54" t="n">
        <v>66325</v>
      </c>
      <c r="G18" s="54" t="n">
        <v>134827</v>
      </c>
      <c r="H18" s="54" t="n">
        <v>66325</v>
      </c>
      <c r="I18" s="54" t="n">
        <v>186393</v>
      </c>
      <c r="J18" s="54" t="n">
        <v>76823</v>
      </c>
      <c r="K18" s="54" t="n">
        <v>201090</v>
      </c>
      <c r="L18" s="54" t="n">
        <v>93620</v>
      </c>
      <c r="M18" s="54" t="n">
        <v>222087</v>
      </c>
      <c r="N18" s="54">
        <f>SUM(B18:M18)</f>
        <v/>
      </c>
    </row>
    <row r="19">
      <c r="A19" s="48" t="inlineStr">
        <is>
          <t>OPERATING EXPENSES — PERSONNEL</t>
        </is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</row>
    <row r="20">
      <c r="A20" s="49" t="inlineStr">
        <is>
          <t>Total base salaries (Staff Plan roster)</t>
        </is>
      </c>
      <c r="B20" s="50" t="n">
        <v>18800</v>
      </c>
      <c r="C20" s="50" t="n">
        <v>23400</v>
      </c>
      <c r="D20" s="50" t="n">
        <v>26500</v>
      </c>
      <c r="E20" s="50" t="n">
        <v>28200</v>
      </c>
      <c r="F20" s="50" t="n">
        <v>28200</v>
      </c>
      <c r="G20" s="50" t="n">
        <v>29400</v>
      </c>
      <c r="H20" s="50" t="n">
        <v>29400</v>
      </c>
      <c r="I20" s="50" t="n">
        <v>31400</v>
      </c>
      <c r="J20" s="50" t="n">
        <v>31400</v>
      </c>
      <c r="K20" s="50" t="n">
        <v>31400</v>
      </c>
      <c r="L20" s="50" t="n">
        <v>31400</v>
      </c>
      <c r="M20" s="50" t="n">
        <v>31400</v>
      </c>
      <c r="N20" s="51">
        <f>SUM(B20:M20)</f>
        <v/>
      </c>
    </row>
    <row r="21">
      <c r="A21" s="49" t="inlineStr">
        <is>
          <t>Social insurance &amp; benefits (15%)</t>
        </is>
      </c>
      <c r="B21" s="50" t="n">
        <v>2820</v>
      </c>
      <c r="C21" s="50" t="n">
        <v>3510</v>
      </c>
      <c r="D21" s="50" t="n">
        <v>3975</v>
      </c>
      <c r="E21" s="50" t="n">
        <v>4230</v>
      </c>
      <c r="F21" s="50" t="n">
        <v>4230</v>
      </c>
      <c r="G21" s="50" t="n">
        <v>4410</v>
      </c>
      <c r="H21" s="50" t="n">
        <v>4410</v>
      </c>
      <c r="I21" s="50" t="n">
        <v>4710</v>
      </c>
      <c r="J21" s="50" t="n">
        <v>4710</v>
      </c>
      <c r="K21" s="50" t="n">
        <v>4710</v>
      </c>
      <c r="L21" s="50" t="n">
        <v>4710</v>
      </c>
      <c r="M21" s="50" t="n">
        <v>4710</v>
      </c>
      <c r="N21" s="51">
        <f>SUM(B21:M21)</f>
        <v/>
      </c>
    </row>
    <row r="22">
      <c r="A22" s="49" t="inlineStr">
        <is>
          <t>Sales commissions (4% of Egypt sales, both divisions)</t>
        </is>
      </c>
      <c r="B22" s="50" t="n">
        <v>0</v>
      </c>
      <c r="C22" s="50" t="n">
        <v>2400</v>
      </c>
      <c r="D22" s="50" t="n">
        <v>7959</v>
      </c>
      <c r="E22" s="50" t="n">
        <v>11180</v>
      </c>
      <c r="F22" s="50" t="n">
        <v>11980</v>
      </c>
      <c r="G22" s="50" t="n">
        <v>12380</v>
      </c>
      <c r="H22" s="50" t="n">
        <v>11980</v>
      </c>
      <c r="I22" s="50" t="n">
        <v>12380</v>
      </c>
      <c r="J22" s="50" t="n">
        <v>13980</v>
      </c>
      <c r="K22" s="50" t="n">
        <v>15180</v>
      </c>
      <c r="L22" s="50" t="n">
        <v>17180</v>
      </c>
      <c r="M22" s="50" t="n">
        <v>19180</v>
      </c>
      <c r="N22" s="51">
        <f>SUM(B22:M22)</f>
        <v/>
      </c>
    </row>
    <row r="23">
      <c r="A23" s="52" t="inlineStr">
        <is>
          <t>TOTAL PERSONNEL</t>
        </is>
      </c>
      <c r="B23" s="51" t="n">
        <v>21620</v>
      </c>
      <c r="C23" s="51" t="n">
        <v>29310</v>
      </c>
      <c r="D23" s="51" t="n">
        <v>38434</v>
      </c>
      <c r="E23" s="51" t="n">
        <v>43610</v>
      </c>
      <c r="F23" s="51" t="n">
        <v>44410</v>
      </c>
      <c r="G23" s="51" t="n">
        <v>46190</v>
      </c>
      <c r="H23" s="51" t="n">
        <v>45790</v>
      </c>
      <c r="I23" s="51" t="n">
        <v>48490</v>
      </c>
      <c r="J23" s="51" t="n">
        <v>50090</v>
      </c>
      <c r="K23" s="51" t="n">
        <v>51290</v>
      </c>
      <c r="L23" s="51" t="n">
        <v>53290</v>
      </c>
      <c r="M23" s="51" t="n">
        <v>55290</v>
      </c>
      <c r="N23" s="51">
        <f>SUM(B23:M23)</f>
        <v/>
      </c>
    </row>
    <row r="24">
      <c r="A24" s="48" t="inlineStr">
        <is>
          <t>OPERATING EXPENSES — FACILITIES</t>
        </is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</row>
    <row r="25">
      <c r="A25" s="49" t="inlineStr">
        <is>
          <t>Showroom #1 — 6th October City (existing, EGP 10,000/mo)</t>
        </is>
      </c>
      <c r="B25" s="50" t="n">
        <v>200</v>
      </c>
      <c r="C25" s="50" t="n">
        <v>200</v>
      </c>
      <c r="D25" s="50" t="n">
        <v>200</v>
      </c>
      <c r="E25" s="50" t="n">
        <v>200</v>
      </c>
      <c r="F25" s="50" t="n">
        <v>200</v>
      </c>
      <c r="G25" s="50" t="n">
        <v>200</v>
      </c>
      <c r="H25" s="50" t="n">
        <v>200</v>
      </c>
      <c r="I25" s="50" t="n">
        <v>200</v>
      </c>
      <c r="J25" s="50" t="n">
        <v>200</v>
      </c>
      <c r="K25" s="50" t="n">
        <v>200</v>
      </c>
      <c r="L25" s="50" t="n">
        <v>200</v>
      </c>
      <c r="M25" s="50" t="n">
        <v>200</v>
      </c>
      <c r="N25" s="51">
        <f>SUM(B25:M25)</f>
        <v/>
      </c>
    </row>
    <row r="26">
      <c r="A26" s="49" t="inlineStr">
        <is>
          <t>Showroom #2 — New Cairo ~100 sqm (opens Month 1)</t>
        </is>
      </c>
      <c r="B26" s="50" t="n">
        <v>3500</v>
      </c>
      <c r="C26" s="50" t="n">
        <v>3500</v>
      </c>
      <c r="D26" s="50" t="n">
        <v>3500</v>
      </c>
      <c r="E26" s="50" t="n">
        <v>3500</v>
      </c>
      <c r="F26" s="50" t="n">
        <v>3500</v>
      </c>
      <c r="G26" s="50" t="n">
        <v>3500</v>
      </c>
      <c r="H26" s="50" t="n">
        <v>3500</v>
      </c>
      <c r="I26" s="50" t="n">
        <v>3500</v>
      </c>
      <c r="J26" s="50" t="n">
        <v>3500</v>
      </c>
      <c r="K26" s="50" t="n">
        <v>3500</v>
      </c>
      <c r="L26" s="50" t="n">
        <v>3500</v>
      </c>
      <c r="M26" s="50" t="n">
        <v>3500</v>
      </c>
      <c r="N26" s="51">
        <f>SUM(B26:M26)</f>
        <v/>
      </c>
    </row>
    <row r="27">
      <c r="A27" s="49" t="inlineStr">
        <is>
          <t>Office — New Cairo 100 sqm furnished</t>
        </is>
      </c>
      <c r="B27" s="50" t="n">
        <v>6000</v>
      </c>
      <c r="C27" s="50" t="n">
        <v>3000</v>
      </c>
      <c r="D27" s="50" t="n">
        <v>3000</v>
      </c>
      <c r="E27" s="50" t="n">
        <v>3000</v>
      </c>
      <c r="F27" s="50" t="n">
        <v>3000</v>
      </c>
      <c r="G27" s="50" t="n">
        <v>3000</v>
      </c>
      <c r="H27" s="50" t="n">
        <v>3000</v>
      </c>
      <c r="I27" s="50" t="n">
        <v>3000</v>
      </c>
      <c r="J27" s="50" t="n">
        <v>3000</v>
      </c>
      <c r="K27" s="50" t="n">
        <v>3000</v>
      </c>
      <c r="L27" s="50" t="n">
        <v>3000</v>
      </c>
      <c r="M27" s="50" t="n">
        <v>3000</v>
      </c>
      <c r="N27" s="51">
        <f>SUM(B27:M27)</f>
        <v/>
      </c>
    </row>
    <row r="28">
      <c r="A28" s="49" t="inlineStr">
        <is>
          <t>Warehouse — 6th Oct / Sheikh Zayed / New Cairo (300–700 sqm)</t>
        </is>
      </c>
      <c r="B28" s="50" t="n">
        <v>3000</v>
      </c>
      <c r="C28" s="50" t="n">
        <v>3000</v>
      </c>
      <c r="D28" s="50" t="n">
        <v>3000</v>
      </c>
      <c r="E28" s="50" t="n">
        <v>3000</v>
      </c>
      <c r="F28" s="50" t="n">
        <v>3000</v>
      </c>
      <c r="G28" s="50" t="n">
        <v>3000</v>
      </c>
      <c r="H28" s="50" t="n">
        <v>3000</v>
      </c>
      <c r="I28" s="50" t="n">
        <v>3000</v>
      </c>
      <c r="J28" s="50" t="n">
        <v>3000</v>
      </c>
      <c r="K28" s="50" t="n">
        <v>3000</v>
      </c>
      <c r="L28" s="50" t="n">
        <v>3000</v>
      </c>
      <c r="M28" s="50" t="n">
        <v>3000</v>
      </c>
      <c r="N28" s="51">
        <f>SUM(B28:M28)</f>
        <v/>
      </c>
    </row>
    <row r="29">
      <c r="A29" s="49" t="inlineStr">
        <is>
          <t>Utilities</t>
        </is>
      </c>
      <c r="B29" s="50" t="n">
        <v>400</v>
      </c>
      <c r="C29" s="50" t="n">
        <v>400</v>
      </c>
      <c r="D29" s="50" t="n">
        <v>700</v>
      </c>
      <c r="E29" s="50" t="n">
        <v>700</v>
      </c>
      <c r="F29" s="50" t="n">
        <v>700</v>
      </c>
      <c r="G29" s="50" t="n">
        <v>700</v>
      </c>
      <c r="H29" s="50" t="n">
        <v>700</v>
      </c>
      <c r="I29" s="50" t="n">
        <v>700</v>
      </c>
      <c r="J29" s="50" t="n">
        <v>700</v>
      </c>
      <c r="K29" s="50" t="n">
        <v>700</v>
      </c>
      <c r="L29" s="50" t="n">
        <v>700</v>
      </c>
      <c r="M29" s="50" t="n">
        <v>700</v>
      </c>
      <c r="N29" s="51">
        <f>SUM(B29:M29)</f>
        <v/>
      </c>
    </row>
    <row r="30">
      <c r="A30" s="52" t="inlineStr">
        <is>
          <t>TOTAL FACILITIES</t>
        </is>
      </c>
      <c r="B30" s="51" t="n">
        <v>13100</v>
      </c>
      <c r="C30" s="51" t="n">
        <v>10100</v>
      </c>
      <c r="D30" s="51" t="n">
        <v>10400</v>
      </c>
      <c r="E30" s="51" t="n">
        <v>10400</v>
      </c>
      <c r="F30" s="51" t="n">
        <v>10400</v>
      </c>
      <c r="G30" s="51" t="n">
        <v>10400</v>
      </c>
      <c r="H30" s="51" t="n">
        <v>10400</v>
      </c>
      <c r="I30" s="51" t="n">
        <v>10400</v>
      </c>
      <c r="J30" s="51" t="n">
        <v>10400</v>
      </c>
      <c r="K30" s="51" t="n">
        <v>10400</v>
      </c>
      <c r="L30" s="51" t="n">
        <v>10400</v>
      </c>
      <c r="M30" s="51" t="n">
        <v>10400</v>
      </c>
      <c r="N30" s="51">
        <f>SUM(B30:M30)</f>
        <v/>
      </c>
    </row>
    <row r="31">
      <c r="A31" s="48" t="inlineStr">
        <is>
          <t>OPERATING EXPENSES — OPERATIONS, MARKETING, G&amp;A</t>
        </is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</row>
    <row r="32">
      <c r="A32" s="49" t="inlineStr">
        <is>
          <t>Vehicles &amp; fuel</t>
        </is>
      </c>
      <c r="B32" s="50" t="n">
        <v>800</v>
      </c>
      <c r="C32" s="50" t="n">
        <v>800</v>
      </c>
      <c r="D32" s="50" t="n">
        <v>800</v>
      </c>
      <c r="E32" s="50" t="n">
        <v>1500</v>
      </c>
      <c r="F32" s="50" t="n">
        <v>1500</v>
      </c>
      <c r="G32" s="50" t="n">
        <v>1500</v>
      </c>
      <c r="H32" s="50" t="n">
        <v>1500</v>
      </c>
      <c r="I32" s="50" t="n">
        <v>1500</v>
      </c>
      <c r="J32" s="50" t="n">
        <v>1500</v>
      </c>
      <c r="K32" s="50" t="n">
        <v>1500</v>
      </c>
      <c r="L32" s="50" t="n">
        <v>1500</v>
      </c>
      <c r="M32" s="50" t="n">
        <v>1500</v>
      </c>
      <c r="N32" s="51">
        <f>SUM(B32:M32)</f>
        <v/>
      </c>
    </row>
    <row r="33">
      <c r="A33" s="49" t="inlineStr">
        <is>
          <t>Marketing &amp; promotions (incl. exhibitions M3)</t>
        </is>
      </c>
      <c r="B33" s="50" t="n">
        <v>7000</v>
      </c>
      <c r="C33" s="50" t="n">
        <v>6300</v>
      </c>
      <c r="D33" s="50" t="n">
        <v>12000</v>
      </c>
      <c r="E33" s="50" t="n">
        <v>5000</v>
      </c>
      <c r="F33" s="50" t="n">
        <v>4400</v>
      </c>
      <c r="G33" s="50" t="n">
        <v>3900</v>
      </c>
      <c r="H33" s="50" t="n">
        <v>3900</v>
      </c>
      <c r="I33" s="50" t="n">
        <v>3900</v>
      </c>
      <c r="J33" s="50" t="n">
        <v>3300</v>
      </c>
      <c r="K33" s="50" t="n">
        <v>3300</v>
      </c>
      <c r="L33" s="50" t="n">
        <v>3300</v>
      </c>
      <c r="M33" s="50" t="n">
        <v>3300</v>
      </c>
      <c r="N33" s="51">
        <f>SUM(B33:M33)</f>
        <v/>
      </c>
    </row>
    <row r="34">
      <c r="A34" s="49" t="inlineStr">
        <is>
          <t>General &amp; administrative</t>
        </is>
      </c>
      <c r="B34" s="50" t="n">
        <v>10700</v>
      </c>
      <c r="C34" s="50" t="n">
        <v>6900</v>
      </c>
      <c r="D34" s="50" t="n">
        <v>6900</v>
      </c>
      <c r="E34" s="50" t="n">
        <v>3900</v>
      </c>
      <c r="F34" s="50" t="n">
        <v>3900</v>
      </c>
      <c r="G34" s="50" t="n">
        <v>3700</v>
      </c>
      <c r="H34" s="50" t="n">
        <v>3500</v>
      </c>
      <c r="I34" s="50" t="n">
        <v>3500</v>
      </c>
      <c r="J34" s="50" t="n">
        <v>3500</v>
      </c>
      <c r="K34" s="50" t="n">
        <v>3500</v>
      </c>
      <c r="L34" s="50" t="n">
        <v>3500</v>
      </c>
      <c r="M34" s="50" t="n">
        <v>3500</v>
      </c>
      <c r="N34" s="51">
        <f>SUM(B34:M34)</f>
        <v/>
      </c>
    </row>
    <row r="35">
      <c r="A35" s="49" t="inlineStr">
        <is>
          <t>Depreciation &amp; amortisation (fit-out, 3-yr)</t>
        </is>
      </c>
      <c r="B35" s="50" t="n">
        <v>1400</v>
      </c>
      <c r="C35" s="50" t="n">
        <v>1400</v>
      </c>
      <c r="D35" s="50" t="n">
        <v>1400</v>
      </c>
      <c r="E35" s="50" t="n">
        <v>1400</v>
      </c>
      <c r="F35" s="50" t="n">
        <v>1400</v>
      </c>
      <c r="G35" s="50" t="n">
        <v>1400</v>
      </c>
      <c r="H35" s="50" t="n">
        <v>1400</v>
      </c>
      <c r="I35" s="50" t="n">
        <v>1400</v>
      </c>
      <c r="J35" s="50" t="n">
        <v>1400</v>
      </c>
      <c r="K35" s="50" t="n">
        <v>1400</v>
      </c>
      <c r="L35" s="50" t="n">
        <v>1400</v>
      </c>
      <c r="M35" s="50" t="n">
        <v>1400</v>
      </c>
      <c r="N35" s="51">
        <f>SUM(B35:M35)</f>
        <v/>
      </c>
    </row>
    <row r="36">
      <c r="A36" s="52" t="inlineStr">
        <is>
          <t>TOTAL OPERATING EXPENSES</t>
        </is>
      </c>
      <c r="B36" s="51" t="n">
        <v>54620</v>
      </c>
      <c r="C36" s="51" t="n">
        <v>54810</v>
      </c>
      <c r="D36" s="51" t="n">
        <v>69934</v>
      </c>
      <c r="E36" s="51" t="n">
        <v>65810</v>
      </c>
      <c r="F36" s="51" t="n">
        <v>66010</v>
      </c>
      <c r="G36" s="51" t="n">
        <v>67090</v>
      </c>
      <c r="H36" s="51" t="n">
        <v>66490</v>
      </c>
      <c r="I36" s="51" t="n">
        <v>69190</v>
      </c>
      <c r="J36" s="51" t="n">
        <v>70190</v>
      </c>
      <c r="K36" s="51" t="n">
        <v>71390</v>
      </c>
      <c r="L36" s="51" t="n">
        <v>73390</v>
      </c>
      <c r="M36" s="51" t="n">
        <v>75390</v>
      </c>
      <c r="N36" s="51">
        <f>SUM(B36:M36)</f>
        <v/>
      </c>
    </row>
    <row r="37">
      <c r="A37" s="55" t="inlineStr">
        <is>
          <t>EBIT (OPERATING PROFIT)</t>
        </is>
      </c>
      <c r="B37" s="56" t="n">
        <v>-54620</v>
      </c>
      <c r="C37" s="56" t="n">
        <v>-42212</v>
      </c>
      <c r="D37" s="56" t="n">
        <v>-24713</v>
      </c>
      <c r="E37" s="56" t="n">
        <v>11152</v>
      </c>
      <c r="F37" s="56" t="n">
        <v>315</v>
      </c>
      <c r="G37" s="56" t="n">
        <v>67737</v>
      </c>
      <c r="H37" s="56" t="n">
        <v>-165</v>
      </c>
      <c r="I37" s="56" t="n">
        <v>117203</v>
      </c>
      <c r="J37" s="56" t="n">
        <v>6633</v>
      </c>
      <c r="K37" s="56" t="n">
        <v>129700</v>
      </c>
      <c r="L37" s="56" t="n">
        <v>20230</v>
      </c>
      <c r="M37" s="56" t="n">
        <v>146697</v>
      </c>
      <c r="N37" s="51">
        <f>SUM(B37:M37)</f>
        <v/>
      </c>
    </row>
    <row r="38">
      <c r="A38" s="49" t="inlineStr">
        <is>
          <t>Interest on trade finance (est.)</t>
        </is>
      </c>
      <c r="B38" s="50" t="n">
        <v>0</v>
      </c>
      <c r="C38" s="50" t="n">
        <v>500</v>
      </c>
      <c r="D38" s="50" t="n">
        <v>500</v>
      </c>
      <c r="E38" s="50" t="n">
        <v>500</v>
      </c>
      <c r="F38" s="50" t="n">
        <v>500</v>
      </c>
      <c r="G38" s="50" t="n">
        <v>500</v>
      </c>
      <c r="H38" s="50" t="n">
        <v>500</v>
      </c>
      <c r="I38" s="50" t="n">
        <v>500</v>
      </c>
      <c r="J38" s="50" t="n">
        <v>500</v>
      </c>
      <c r="K38" s="50" t="n">
        <v>500</v>
      </c>
      <c r="L38" s="50" t="n">
        <v>500</v>
      </c>
      <c r="M38" s="50" t="n">
        <v>500</v>
      </c>
      <c r="N38" s="51">
        <f>SUM(B38:M38)</f>
        <v/>
      </c>
    </row>
    <row r="39">
      <c r="A39" s="55" t="inlineStr">
        <is>
          <t>EARNINGS BEFORE TAX</t>
        </is>
      </c>
      <c r="B39" s="56" t="n">
        <v>-54620</v>
      </c>
      <c r="C39" s="56" t="n">
        <v>-42712</v>
      </c>
      <c r="D39" s="56" t="n">
        <v>-25213</v>
      </c>
      <c r="E39" s="56" t="n">
        <v>10652</v>
      </c>
      <c r="F39" s="56" t="n">
        <v>-185</v>
      </c>
      <c r="G39" s="56" t="n">
        <v>67237</v>
      </c>
      <c r="H39" s="56" t="n">
        <v>-665</v>
      </c>
      <c r="I39" s="56" t="n">
        <v>116703</v>
      </c>
      <c r="J39" s="56" t="n">
        <v>6133</v>
      </c>
      <c r="K39" s="56" t="n">
        <v>129200</v>
      </c>
      <c r="L39" s="56" t="n">
        <v>19730</v>
      </c>
      <c r="M39" s="56" t="n">
        <v>146197</v>
      </c>
      <c r="N39" s="51">
        <f>SUM(B39:M39)</f>
        <v/>
      </c>
    </row>
    <row r="40">
      <c r="A40" s="49" t="inlineStr">
        <is>
          <t>Corporate tax (22.5%, loss carry-forward)</t>
        </is>
      </c>
      <c r="B40" s="50" t="n">
        <v>0</v>
      </c>
      <c r="C40" s="50" t="n">
        <v>0</v>
      </c>
      <c r="D40" s="50" t="n">
        <v>0</v>
      </c>
      <c r="E40" s="50" t="n">
        <v>0</v>
      </c>
      <c r="F40" s="50" t="n">
        <v>0</v>
      </c>
      <c r="G40" s="50" t="n">
        <v>0</v>
      </c>
      <c r="H40" s="50" t="n">
        <v>0</v>
      </c>
      <c r="I40" s="50" t="n">
        <v>16019</v>
      </c>
      <c r="J40" s="50" t="n">
        <v>1380</v>
      </c>
      <c r="K40" s="50" t="n">
        <v>29070</v>
      </c>
      <c r="L40" s="50" t="n">
        <v>4439</v>
      </c>
      <c r="M40" s="50" t="n">
        <v>32894</v>
      </c>
      <c r="N40" s="51">
        <f>SUM(B40:M40)</f>
        <v/>
      </c>
    </row>
    <row r="41">
      <c r="A41" s="53" t="inlineStr">
        <is>
          <t>NET PROFIT / (LOSS)</t>
        </is>
      </c>
      <c r="B41" s="54" t="n">
        <v>-54620</v>
      </c>
      <c r="C41" s="54" t="n">
        <v>-42712</v>
      </c>
      <c r="D41" s="54" t="n">
        <v>-25213</v>
      </c>
      <c r="E41" s="54" t="n">
        <v>10652</v>
      </c>
      <c r="F41" s="54" t="n">
        <v>-185</v>
      </c>
      <c r="G41" s="54" t="n">
        <v>67237</v>
      </c>
      <c r="H41" s="54" t="n">
        <v>-665</v>
      </c>
      <c r="I41" s="54" t="n">
        <v>100684</v>
      </c>
      <c r="J41" s="54" t="n">
        <v>4753</v>
      </c>
      <c r="K41" s="54" t="n">
        <v>100130</v>
      </c>
      <c r="L41" s="54" t="n">
        <v>15291</v>
      </c>
      <c r="M41" s="54" t="n">
        <v>113303</v>
      </c>
      <c r="N41" s="54">
        <f>SUM(B41:M41)</f>
        <v/>
      </c>
    </row>
    <row r="42">
      <c r="A42" s="49" t="inlineStr">
        <is>
          <t>Cumulative profit / (loss)</t>
        </is>
      </c>
      <c r="B42" s="50" t="n">
        <v>-54620</v>
      </c>
      <c r="C42" s="50" t="n">
        <v>-97332</v>
      </c>
      <c r="D42" s="50" t="n">
        <v>-122545</v>
      </c>
      <c r="E42" s="50" t="n">
        <v>-111893</v>
      </c>
      <c r="F42" s="50" t="n">
        <v>-112078</v>
      </c>
      <c r="G42" s="50" t="n">
        <v>-44841</v>
      </c>
      <c r="H42" s="50" t="n">
        <v>-45506</v>
      </c>
      <c r="I42" s="50" t="n">
        <v>55178</v>
      </c>
      <c r="J42" s="50" t="n">
        <v>59931</v>
      </c>
      <c r="K42" s="50" t="n">
        <v>160061</v>
      </c>
      <c r="L42" s="50" t="n">
        <v>175352</v>
      </c>
      <c r="M42" s="50" t="n">
        <v>288655</v>
      </c>
      <c r="N42" s="51" t="n">
        <v>288655</v>
      </c>
    </row>
    <row r="44">
      <c r="A44" s="57" t="inlineStr">
        <is>
          <t>Operating break-even: Month 4 (Nov-26). Cumulative break-even: Month 8 (Mar-27). Egypt Y1: Vestwoods 6 + Al Reem 10 containers | Sudan: 4 + 5 | Algeria: 3 (LC).</t>
        </is>
      </c>
    </row>
  </sheetData>
  <mergeCells count="3">
    <mergeCell ref="A44:N44"/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5-Year Annual P&amp;L Summary (USD)</t>
        </is>
      </c>
    </row>
    <row r="2">
      <c r="A2" s="2" t="inlineStr">
        <is>
          <t>Vestwoods: Egypt 6/7/9/11/15, Sudan 4/5/6/8/10, Algeria 3/4/6/7/8, Libya 0/4/5/6/8 | Al Reem: Egypt 10/12/15/18/20, Sudan 5/8/10/12/15</t>
        </is>
      </c>
    </row>
    <row r="4">
      <c r="A4" s="12" t="inlineStr">
        <is>
          <t>DESCRIPTION</t>
        </is>
      </c>
      <c r="B4" s="13" t="inlineStr">
        <is>
          <t>Year 1
(Aug26-Jul27)</t>
        </is>
      </c>
      <c r="C4" s="13" t="inlineStr">
        <is>
          <t>Year 2
(Aug27-Jul28)</t>
        </is>
      </c>
      <c r="D4" s="13" t="inlineStr">
        <is>
          <t>Year 3
(Aug28-Jul29)</t>
        </is>
      </c>
      <c r="E4" s="13" t="inlineStr">
        <is>
          <t>Year 4
(Aug29-Jul30)</t>
        </is>
      </c>
      <c r="F4" s="13" t="inlineStr">
        <is>
          <t>Year 5
(Aug30-Jul31)</t>
        </is>
      </c>
      <c r="G4" s="13" t="inlineStr">
        <is>
          <t>5-YEAR
TOTAL</t>
        </is>
      </c>
    </row>
    <row r="5">
      <c r="A5" s="58" t="inlineStr">
        <is>
          <t>REVENUE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Egypt — Vestwoods</t>
        </is>
      </c>
      <c r="B6" s="59" t="n">
        <v>2599686</v>
      </c>
      <c r="C6" s="59" t="n">
        <v>3032967</v>
      </c>
      <c r="D6" s="59" t="n">
        <v>3899529</v>
      </c>
      <c r="E6" s="59" t="n">
        <v>4766091</v>
      </c>
      <c r="F6" s="59" t="n">
        <v>6499215</v>
      </c>
      <c r="G6" s="60">
        <f>SUM(B6:F6)</f>
        <v/>
      </c>
    </row>
    <row r="7">
      <c r="A7" s="9" t="inlineStr">
        <is>
          <t>Egypt — Al Reem Plastics</t>
        </is>
      </c>
      <c r="B7" s="59" t="n">
        <v>794772</v>
      </c>
      <c r="C7" s="59" t="n">
        <v>953727</v>
      </c>
      <c r="D7" s="59" t="n">
        <v>1192158</v>
      </c>
      <c r="E7" s="59" t="n">
        <v>1430590</v>
      </c>
      <c r="F7" s="59" t="n">
        <v>1589545</v>
      </c>
      <c r="G7" s="60">
        <f>SUM(B7:F7)</f>
        <v/>
      </c>
    </row>
    <row r="8">
      <c r="A8" s="9" t="inlineStr">
        <is>
          <t>Sudan — Vestwoods</t>
        </is>
      </c>
      <c r="B8" s="59" t="n">
        <v>1575528</v>
      </c>
      <c r="C8" s="59" t="n">
        <v>1969410</v>
      </c>
      <c r="D8" s="59" t="n">
        <v>2363292</v>
      </c>
      <c r="E8" s="59" t="n">
        <v>3151056</v>
      </c>
      <c r="F8" s="59" t="n">
        <v>3938820</v>
      </c>
      <c r="G8" s="60">
        <f>SUM(B8:F8)</f>
        <v/>
      </c>
    </row>
    <row r="9">
      <c r="A9" s="9" t="inlineStr">
        <is>
          <t>Sudan — Al Reem Plastics</t>
        </is>
      </c>
      <c r="B9" s="59" t="n">
        <v>370894</v>
      </c>
      <c r="C9" s="59" t="n">
        <v>593430</v>
      </c>
      <c r="D9" s="59" t="n">
        <v>741788</v>
      </c>
      <c r="E9" s="59" t="n">
        <v>890145</v>
      </c>
      <c r="F9" s="59" t="n">
        <v>1112681</v>
      </c>
      <c r="G9" s="60">
        <f>SUM(B9:F9)</f>
        <v/>
      </c>
    </row>
    <row r="10">
      <c r="A10" s="9" t="inlineStr">
        <is>
          <t>Algeria — Vestwoods (100% LC)</t>
        </is>
      </c>
      <c r="B10" s="59" t="n">
        <v>1181646</v>
      </c>
      <c r="C10" s="59" t="n">
        <v>1575528</v>
      </c>
      <c r="D10" s="59" t="n">
        <v>2363292</v>
      </c>
      <c r="E10" s="59" t="n">
        <v>2757174</v>
      </c>
      <c r="F10" s="59" t="n">
        <v>3151056</v>
      </c>
      <c r="G10" s="60">
        <f>SUM(B10:F10)</f>
        <v/>
      </c>
    </row>
    <row r="11">
      <c r="A11" s="9" t="inlineStr">
        <is>
          <t>Libya — Vestwoods (from Year 2)</t>
        </is>
      </c>
      <c r="B11" s="59" t="n">
        <v>0</v>
      </c>
      <c r="C11" s="59" t="n">
        <v>1575528</v>
      </c>
      <c r="D11" s="59" t="n">
        <v>1969410</v>
      </c>
      <c r="E11" s="59" t="n">
        <v>2363292</v>
      </c>
      <c r="F11" s="59" t="n">
        <v>3151056</v>
      </c>
      <c r="G11" s="60">
        <f>SUM(B11:F11)</f>
        <v/>
      </c>
    </row>
    <row r="12">
      <c r="A12" s="61" t="inlineStr">
        <is>
          <t>TOTAL REVENUE</t>
        </is>
      </c>
      <c r="B12" s="60" t="n">
        <v>6522526</v>
      </c>
      <c r="C12" s="60" t="n">
        <v>9700590</v>
      </c>
      <c r="D12" s="60" t="n">
        <v>12529469</v>
      </c>
      <c r="E12" s="60" t="n">
        <v>15358348</v>
      </c>
      <c r="F12" s="60" t="n">
        <v>19442373</v>
      </c>
      <c r="G12" s="60">
        <f>SUM(B12:F12)</f>
        <v/>
      </c>
    </row>
    <row r="13">
      <c r="A13" s="58" t="inlineStr">
        <is>
          <t>COST OF GOODS SOLD</t>
        </is>
      </c>
      <c r="B13" s="8" t="n"/>
      <c r="C13" s="8" t="n"/>
      <c r="D13" s="8" t="n"/>
      <c r="E13" s="8" t="n"/>
      <c r="F13" s="8" t="n"/>
      <c r="G13" s="8" t="n"/>
    </row>
    <row r="14">
      <c r="A14" s="9" t="inlineStr">
        <is>
          <t>Vestwoods COGS (retail 72% / wholesale 87%)</t>
        </is>
      </c>
      <c r="B14" s="59" t="n">
        <v>4450108</v>
      </c>
      <c r="C14" s="59" t="n">
        <v>6846320</v>
      </c>
      <c r="D14" s="59" t="n">
        <v>8900216</v>
      </c>
      <c r="E14" s="59" t="n">
        <v>10954112</v>
      </c>
      <c r="F14" s="59" t="n">
        <v>14034956</v>
      </c>
      <c r="G14" s="60">
        <f>SUM(B14:F14)</f>
        <v/>
      </c>
    </row>
    <row r="15">
      <c r="A15" s="9" t="inlineStr">
        <is>
          <t>Al Reem COGS (retail 70% / wholesale 80%)</t>
        </is>
      </c>
      <c r="B15" s="59" t="n">
        <v>890145</v>
      </c>
      <c r="C15" s="59" t="n">
        <v>1186860</v>
      </c>
      <c r="D15" s="59" t="n">
        <v>1483575</v>
      </c>
      <c r="E15" s="59" t="n">
        <v>1780290</v>
      </c>
      <c r="F15" s="59" t="n">
        <v>2077005</v>
      </c>
      <c r="G15" s="60">
        <f>SUM(B15:F15)</f>
        <v/>
      </c>
    </row>
    <row r="16">
      <c r="A16" s="61" t="inlineStr">
        <is>
          <t>TOTAL COGS</t>
        </is>
      </c>
      <c r="B16" s="60" t="n">
        <v>5340253</v>
      </c>
      <c r="C16" s="60" t="n">
        <v>8033180</v>
      </c>
      <c r="D16" s="60" t="n">
        <v>10383791</v>
      </c>
      <c r="E16" s="60" t="n">
        <v>12734402</v>
      </c>
      <c r="F16" s="60" t="n">
        <v>16111961</v>
      </c>
      <c r="G16" s="60">
        <f>SUM(B16:F16)</f>
        <v/>
      </c>
    </row>
    <row r="17">
      <c r="A17" s="62" t="inlineStr">
        <is>
          <t>GROSS PROFIT</t>
        </is>
      </c>
      <c r="B17" s="63" t="n">
        <v>1182273</v>
      </c>
      <c r="C17" s="63" t="n">
        <v>1667410</v>
      </c>
      <c r="D17" s="63" t="n">
        <v>2145678</v>
      </c>
      <c r="E17" s="63" t="n">
        <v>2623946</v>
      </c>
      <c r="F17" s="63" t="n">
        <v>3330412</v>
      </c>
      <c r="G17" s="63">
        <f>SUM(B17:F17)</f>
        <v/>
      </c>
    </row>
    <row r="18">
      <c r="A18" s="9" t="inlineStr">
        <is>
          <t>Gross margin %</t>
        </is>
      </c>
      <c r="B18" s="64" t="n">
        <v>0.1812599903779609</v>
      </c>
      <c r="C18" s="64" t="n">
        <v>0.1718874831324693</v>
      </c>
      <c r="D18" s="64" t="n">
        <v>0.1712505134894384</v>
      </c>
      <c r="E18" s="64" t="n">
        <v>0.1708481927874013</v>
      </c>
      <c r="F18" s="64" t="n">
        <v>0.1712965798979374</v>
      </c>
    </row>
    <row r="19">
      <c r="A19" s="58" t="inlineStr">
        <is>
          <t>OPERATING EXPENSES</t>
        </is>
      </c>
      <c r="B19" s="8" t="n"/>
      <c r="C19" s="8" t="n"/>
      <c r="D19" s="8" t="n"/>
      <c r="E19" s="8" t="n"/>
      <c r="F19" s="8" t="n"/>
      <c r="G19" s="8" t="n"/>
    </row>
    <row r="20">
      <c r="A20" s="9" t="inlineStr">
        <is>
          <t>Personnel (Staff Plan + 4% Egypt commissions)</t>
        </is>
      </c>
      <c r="B20" s="59" t="n">
        <v>527813</v>
      </c>
      <c r="C20" s="59" t="n">
        <v>660408</v>
      </c>
      <c r="D20" s="59" t="n">
        <v>842607</v>
      </c>
      <c r="E20" s="59" t="n">
        <v>1041367</v>
      </c>
      <c r="F20" s="59" t="n">
        <v>1406850</v>
      </c>
      <c r="G20" s="60">
        <f>SUM(B20:F20)</f>
        <v/>
      </c>
    </row>
    <row r="21">
      <c r="A21" s="9" t="inlineStr">
        <is>
          <t>Rent &amp; facilities (2 showrooms, office, warehouse)</t>
        </is>
      </c>
      <c r="B21" s="59" t="n">
        <v>127200</v>
      </c>
      <c r="C21" s="59" t="n">
        <v>127200</v>
      </c>
      <c r="D21" s="59" t="n">
        <v>147000</v>
      </c>
      <c r="E21" s="59" t="n">
        <v>187000</v>
      </c>
      <c r="F21" s="59" t="n">
        <v>232000</v>
      </c>
      <c r="G21" s="60">
        <f>SUM(B21:F21)</f>
        <v/>
      </c>
    </row>
    <row r="22">
      <c r="A22" s="9" t="inlineStr">
        <is>
          <t>Marketing &amp; promotions</t>
        </is>
      </c>
      <c r="B22" s="59" t="n">
        <v>59600</v>
      </c>
      <c r="C22" s="59" t="n">
        <v>85000</v>
      </c>
      <c r="D22" s="59" t="n">
        <v>120000</v>
      </c>
      <c r="E22" s="59" t="n">
        <v>165000</v>
      </c>
      <c r="F22" s="59" t="n">
        <v>215000</v>
      </c>
      <c r="G22" s="60">
        <f>SUM(B22:F22)</f>
        <v/>
      </c>
    </row>
    <row r="23">
      <c r="A23" s="9" t="inlineStr">
        <is>
          <t>Operations, G&amp;A &amp; trade-finance interest</t>
        </is>
      </c>
      <c r="B23" s="59" t="n">
        <v>78400</v>
      </c>
      <c r="C23" s="59" t="n">
        <v>105000</v>
      </c>
      <c r="D23" s="59" t="n">
        <v>130000</v>
      </c>
      <c r="E23" s="59" t="n">
        <v>165000</v>
      </c>
      <c r="F23" s="59" t="n">
        <v>205000</v>
      </c>
      <c r="G23" s="60">
        <f>SUM(B23:F23)</f>
        <v/>
      </c>
    </row>
    <row r="24">
      <c r="A24" s="9" t="inlineStr">
        <is>
          <t>Depreciation &amp; amortisation</t>
        </is>
      </c>
      <c r="B24" s="59" t="n">
        <v>16800</v>
      </c>
      <c r="C24" s="59" t="n">
        <v>16800</v>
      </c>
      <c r="D24" s="59" t="n">
        <v>16800</v>
      </c>
      <c r="E24" s="59" t="n">
        <v>20000</v>
      </c>
      <c r="F24" s="59" t="n">
        <v>30000</v>
      </c>
      <c r="G24" s="60">
        <f>SUM(B24:F24)</f>
        <v/>
      </c>
    </row>
    <row r="25">
      <c r="A25" s="61" t="inlineStr">
        <is>
          <t>TOTAL OPERATING EXPENSES</t>
        </is>
      </c>
      <c r="B25" s="60" t="n">
        <v>809814</v>
      </c>
      <c r="C25" s="60" t="n">
        <v>994408</v>
      </c>
      <c r="D25" s="60" t="n">
        <v>1256407</v>
      </c>
      <c r="E25" s="60" t="n">
        <v>1578367</v>
      </c>
      <c r="F25" s="60" t="n">
        <v>2088850</v>
      </c>
      <c r="G25" s="60">
        <f>SUM(B25:F25)</f>
        <v/>
      </c>
    </row>
    <row r="26">
      <c r="A26" s="58" t="inlineStr">
        <is>
          <t>PROFITABILITY</t>
        </is>
      </c>
      <c r="B26" s="8" t="n"/>
      <c r="C26" s="8" t="n"/>
      <c r="D26" s="8" t="n"/>
      <c r="E26" s="8" t="n"/>
      <c r="F26" s="8" t="n"/>
      <c r="G26" s="8" t="n"/>
    </row>
    <row r="27">
      <c r="A27" s="65" t="inlineStr">
        <is>
          <t>EBIT (operating profit)</t>
        </is>
      </c>
      <c r="B27" s="66" t="n">
        <v>372459</v>
      </c>
      <c r="C27" s="66" t="n">
        <v>673002</v>
      </c>
      <c r="D27" s="66" t="n">
        <v>889271</v>
      </c>
      <c r="E27" s="66" t="n">
        <v>1045579</v>
      </c>
      <c r="F27" s="66" t="n">
        <v>1241562</v>
      </c>
      <c r="G27" s="60">
        <f>SUM(B27:F27)</f>
        <v/>
      </c>
    </row>
    <row r="28">
      <c r="A28" s="9" t="inlineStr">
        <is>
          <t>EBIT margin %</t>
        </is>
      </c>
      <c r="B28" s="64" t="n">
        <v>0.05710349027355353</v>
      </c>
      <c r="C28" s="64" t="n">
        <v>0.06937742962026021</v>
      </c>
      <c r="D28" s="64" t="n">
        <v>0.07097435653498164</v>
      </c>
      <c r="E28" s="64" t="n">
        <v>0.06807887150362786</v>
      </c>
      <c r="F28" s="64" t="n">
        <v>0.06385856294393694</v>
      </c>
    </row>
    <row r="29">
      <c r="A29" s="9" t="inlineStr">
        <is>
          <t>Corporate income tax (22.5%)</t>
        </is>
      </c>
      <c r="B29" s="59" t="n">
        <v>83803</v>
      </c>
      <c r="C29" s="59" t="n">
        <v>151425</v>
      </c>
      <c r="D29" s="59" t="n">
        <v>200086</v>
      </c>
      <c r="E29" s="59" t="n">
        <v>235255</v>
      </c>
      <c r="F29" s="59" t="n">
        <v>279351</v>
      </c>
      <c r="G29" s="60">
        <f>SUM(B29:F29)</f>
        <v/>
      </c>
    </row>
    <row r="30">
      <c r="A30" s="62" t="inlineStr">
        <is>
          <t>NET PROFIT</t>
        </is>
      </c>
      <c r="B30" s="63" t="n">
        <v>288656</v>
      </c>
      <c r="C30" s="63" t="n">
        <v>521577</v>
      </c>
      <c r="D30" s="63" t="n">
        <v>689185</v>
      </c>
      <c r="E30" s="63" t="n">
        <v>810324</v>
      </c>
      <c r="F30" s="63" t="n">
        <v>962211</v>
      </c>
      <c r="G30" s="63">
        <f>SUM(B30:F30)</f>
        <v/>
      </c>
    </row>
    <row r="31">
      <c r="A31" s="9" t="inlineStr">
        <is>
          <t>Net margin %</t>
        </is>
      </c>
      <c r="B31" s="64" t="n">
        <v>0.04425524712358372</v>
      </c>
      <c r="C31" s="64" t="n">
        <v>0.05376755434463264</v>
      </c>
      <c r="D31" s="64" t="n">
        <v>0.05500512431931473</v>
      </c>
      <c r="E31" s="64" t="n">
        <v>0.05276114332088321</v>
      </c>
      <c r="F31" s="64" t="n">
        <v>0.04949040942687397</v>
      </c>
    </row>
    <row r="32">
      <c r="A32" s="9" t="inlineStr">
        <is>
          <t>Cumulative net profit</t>
        </is>
      </c>
      <c r="B32" s="59" t="n">
        <v>288656</v>
      </c>
      <c r="C32" s="59" t="n">
        <v>810233</v>
      </c>
      <c r="D32" s="59" t="n">
        <v>1499418</v>
      </c>
      <c r="E32" s="59" t="n">
        <v>2309742</v>
      </c>
      <c r="F32" s="59" t="n">
        <v>3271953</v>
      </c>
      <c r="G32" s="60">
        <f>SUM(B32:F32)</f>
        <v/>
      </c>
    </row>
    <row r="34">
      <c r="A34" s="21" t="inlineStr">
        <is>
          <t>• Total 5-year revenue USD 63,553,306 | gross profit USD 10,949,719 | net profit USD 3,271,953</t>
        </is>
      </c>
    </row>
    <row r="35">
      <c r="A35" s="21" t="inlineStr">
        <is>
          <t>• Operating break-even Month 4 (Nov-26); cumulative break-even Month 8 (Mar-27).</t>
        </is>
      </c>
    </row>
    <row r="36">
      <c r="A36" s="21" t="inlineStr">
        <is>
          <t>• Cumulative net profit exceeds the USD 1.5M investment during Year 3.</t>
        </is>
      </c>
    </row>
  </sheetData>
  <mergeCells count="5">
    <mergeCell ref="A36:G36"/>
    <mergeCell ref="A1:G1"/>
    <mergeCell ref="A34:G34"/>
    <mergeCell ref="A35:G35"/>
    <mergeCell ref="A2:G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2" customWidth="1" min="14" max="14"/>
  </cols>
  <sheetData>
    <row r="1">
      <c r="A1" s="1" t="inlineStr">
        <is>
          <t>Monthly Cash Flow — Year 1 (August 2026 – July 2027)</t>
        </is>
      </c>
    </row>
    <row r="2">
      <c r="A2" s="2" t="inlineStr">
        <is>
          <t>Vestwoods Y1: 100% supplier payment before shipment | Al Reem: paid against documents | Egypt 1-month collection lag | Sudan 50% advance + 50% delivery | Algeria 100% LC</t>
        </is>
      </c>
    </row>
    <row r="4">
      <c r="A4" s="46" t="inlineStr">
        <is>
          <t>CASH FLOW ITEM</t>
        </is>
      </c>
      <c r="B4" s="47" t="inlineStr">
        <is>
          <t>Aug-26</t>
        </is>
      </c>
      <c r="C4" s="47" t="inlineStr">
        <is>
          <t>Sep-26</t>
        </is>
      </c>
      <c r="D4" s="47" t="inlineStr">
        <is>
          <t>Oct-26</t>
        </is>
      </c>
      <c r="E4" s="47" t="inlineStr">
        <is>
          <t>Nov-26</t>
        </is>
      </c>
      <c r="F4" s="47" t="inlineStr">
        <is>
          <t>Dec-26</t>
        </is>
      </c>
      <c r="G4" s="47" t="inlineStr">
        <is>
          <t>Jan-27</t>
        </is>
      </c>
      <c r="H4" s="47" t="inlineStr">
        <is>
          <t>Feb-27</t>
        </is>
      </c>
      <c r="I4" s="47" t="inlineStr">
        <is>
          <t>Mar-27</t>
        </is>
      </c>
      <c r="J4" s="47" t="inlineStr">
        <is>
          <t>Apr-27</t>
        </is>
      </c>
      <c r="K4" s="47" t="inlineStr">
        <is>
          <t>May-27</t>
        </is>
      </c>
      <c r="L4" s="47" t="inlineStr">
        <is>
          <t>Jun-27</t>
        </is>
      </c>
      <c r="M4" s="47" t="inlineStr">
        <is>
          <t>Jul-27</t>
        </is>
      </c>
      <c r="N4" s="47" t="inlineStr">
        <is>
          <t>YEAR 1
TOTAL</t>
        </is>
      </c>
    </row>
    <row r="5">
      <c r="A5" s="48" t="inlineStr">
        <is>
          <t>CASH INFLOWS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</row>
    <row r="6">
      <c r="A6" s="49" t="inlineStr">
        <is>
          <t>Egypt collections — both divisions (1-month lag)</t>
        </is>
      </c>
      <c r="B6" s="50" t="n">
        <v>0</v>
      </c>
      <c r="C6" s="50" t="n">
        <v>0</v>
      </c>
      <c r="D6" s="50" t="n">
        <v>60005</v>
      </c>
      <c r="E6" s="50" t="n">
        <v>198969</v>
      </c>
      <c r="F6" s="50" t="n">
        <v>279493</v>
      </c>
      <c r="G6" s="50" t="n">
        <v>299494</v>
      </c>
      <c r="H6" s="50" t="n">
        <v>309495</v>
      </c>
      <c r="I6" s="50" t="n">
        <v>299494</v>
      </c>
      <c r="J6" s="50" t="n">
        <v>309495</v>
      </c>
      <c r="K6" s="50" t="n">
        <v>349498</v>
      </c>
      <c r="L6" s="50" t="n">
        <v>379500</v>
      </c>
      <c r="M6" s="50" t="n">
        <v>429504</v>
      </c>
      <c r="N6" s="51">
        <f>SUM(B6:M6)</f>
        <v/>
      </c>
    </row>
    <row r="7">
      <c r="A7" s="49" t="inlineStr">
        <is>
          <t>Export cash — Sudan advances/delivery + Algeria LC</t>
        </is>
      </c>
      <c r="B7" s="50" t="n">
        <v>0</v>
      </c>
      <c r="C7" s="50" t="n">
        <v>0</v>
      </c>
      <c r="D7" s="50" t="n">
        <v>37090</v>
      </c>
      <c r="E7" s="50" t="n">
        <v>234030</v>
      </c>
      <c r="F7" s="50" t="n">
        <v>37090</v>
      </c>
      <c r="G7" s="50" t="n">
        <v>430972</v>
      </c>
      <c r="H7" s="50" t="n">
        <v>37090</v>
      </c>
      <c r="I7" s="50" t="n">
        <v>824854</v>
      </c>
      <c r="J7" s="50" t="n">
        <v>37090</v>
      </c>
      <c r="K7" s="50" t="n">
        <v>824854</v>
      </c>
      <c r="L7" s="50" t="n">
        <v>37090</v>
      </c>
      <c r="M7" s="50" t="n">
        <v>627912</v>
      </c>
      <c r="N7" s="51">
        <f>SUM(B7:M7)</f>
        <v/>
      </c>
    </row>
    <row r="8">
      <c r="A8" s="49" t="inlineStr">
        <is>
          <t>Investor capital (T1 Aug: 1.0M | T2 Nov: 0.5M)</t>
        </is>
      </c>
      <c r="B8" s="50" t="n">
        <v>1000000</v>
      </c>
      <c r="C8" s="50" t="n">
        <v>0</v>
      </c>
      <c r="D8" s="50" t="n">
        <v>0</v>
      </c>
      <c r="E8" s="50" t="n">
        <v>500000</v>
      </c>
      <c r="F8" s="50" t="n">
        <v>0</v>
      </c>
      <c r="G8" s="50" t="n">
        <v>0</v>
      </c>
      <c r="H8" s="50" t="n">
        <v>0</v>
      </c>
      <c r="I8" s="50" t="n">
        <v>0</v>
      </c>
      <c r="J8" s="50" t="n">
        <v>0</v>
      </c>
      <c r="K8" s="50" t="n">
        <v>0</v>
      </c>
      <c r="L8" s="50" t="n">
        <v>0</v>
      </c>
      <c r="M8" s="50" t="n">
        <v>0</v>
      </c>
      <c r="N8" s="51">
        <f>SUM(B8:M8)</f>
        <v/>
      </c>
    </row>
    <row r="9">
      <c r="A9" s="52" t="inlineStr">
        <is>
          <t>TOTAL CASH INFLOWS</t>
        </is>
      </c>
      <c r="B9" s="51" t="n">
        <v>1000000</v>
      </c>
      <c r="C9" s="51" t="n">
        <v>0</v>
      </c>
      <c r="D9" s="51" t="n">
        <v>97095</v>
      </c>
      <c r="E9" s="51" t="n">
        <v>932999</v>
      </c>
      <c r="F9" s="51" t="n">
        <v>316583</v>
      </c>
      <c r="G9" s="51" t="n">
        <v>730466</v>
      </c>
      <c r="H9" s="51" t="n">
        <v>346585</v>
      </c>
      <c r="I9" s="51" t="n">
        <v>1124348</v>
      </c>
      <c r="J9" s="51" t="n">
        <v>346585</v>
      </c>
      <c r="K9" s="51" t="n">
        <v>1174352</v>
      </c>
      <c r="L9" s="51" t="n">
        <v>416590</v>
      </c>
      <c r="M9" s="51" t="n">
        <v>1057416</v>
      </c>
      <c r="N9" s="51">
        <f>SUM(B9:M9)</f>
        <v/>
      </c>
    </row>
    <row r="10">
      <c r="A10" s="48" t="inlineStr">
        <is>
          <t>CASH OUTFLOWS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</row>
    <row r="11">
      <c r="A11" s="49" t="inlineStr">
        <is>
          <t>Vestwoods supplier prepayments (USD 239,805 × 13 POs)</t>
        </is>
      </c>
      <c r="B11" s="50" t="n">
        <v>239805</v>
      </c>
      <c r="C11" s="50" t="n">
        <v>0</v>
      </c>
      <c r="D11" s="50" t="n">
        <v>239805</v>
      </c>
      <c r="E11" s="50" t="n">
        <v>239805</v>
      </c>
      <c r="F11" s="50" t="n">
        <v>239805</v>
      </c>
      <c r="G11" s="50" t="n">
        <v>479610</v>
      </c>
      <c r="H11" s="50" t="n">
        <v>239805</v>
      </c>
      <c r="I11" s="50" t="n">
        <v>719415</v>
      </c>
      <c r="J11" s="50" t="n">
        <v>239805</v>
      </c>
      <c r="K11" s="50" t="n">
        <v>479610</v>
      </c>
      <c r="L11" s="50" t="n">
        <v>0</v>
      </c>
      <c r="M11" s="50" t="n">
        <v>0</v>
      </c>
      <c r="N11" s="51">
        <f>SUM(B11:M11)</f>
        <v/>
      </c>
    </row>
    <row r="12">
      <c r="A12" s="49" t="inlineStr">
        <is>
          <t>Vestwoods local import costs at clearance (USD 102,511)</t>
        </is>
      </c>
      <c r="B12" s="50" t="n">
        <v>0</v>
      </c>
      <c r="C12" s="50" t="n">
        <v>0</v>
      </c>
      <c r="D12" s="50" t="n">
        <v>102511</v>
      </c>
      <c r="E12" s="50" t="n">
        <v>0</v>
      </c>
      <c r="F12" s="50" t="n">
        <v>102511</v>
      </c>
      <c r="G12" s="50" t="n">
        <v>102511</v>
      </c>
      <c r="H12" s="50" t="n">
        <v>102511</v>
      </c>
      <c r="I12" s="50" t="n">
        <v>205022</v>
      </c>
      <c r="J12" s="50" t="n">
        <v>102511</v>
      </c>
      <c r="K12" s="50" t="n">
        <v>307533</v>
      </c>
      <c r="L12" s="50" t="n">
        <v>102511</v>
      </c>
      <c r="M12" s="50" t="n">
        <v>205022</v>
      </c>
      <c r="N12" s="51">
        <f>SUM(B12:M12)</f>
        <v/>
      </c>
    </row>
    <row r="13">
      <c r="A13" s="49" t="inlineStr">
        <is>
          <t>Al Reem containers (USD 59,343 × 15, against documents)</t>
        </is>
      </c>
      <c r="B13" s="50" t="n">
        <v>0</v>
      </c>
      <c r="C13" s="50" t="n">
        <v>59343</v>
      </c>
      <c r="D13" s="50" t="n">
        <v>118686</v>
      </c>
      <c r="E13" s="50" t="n">
        <v>59343</v>
      </c>
      <c r="F13" s="50" t="n">
        <v>118686</v>
      </c>
      <c r="G13" s="50" t="n">
        <v>59343</v>
      </c>
      <c r="H13" s="50" t="n">
        <v>118686</v>
      </c>
      <c r="I13" s="50" t="n">
        <v>59343</v>
      </c>
      <c r="J13" s="50" t="n">
        <v>118686</v>
      </c>
      <c r="K13" s="50" t="n">
        <v>118686</v>
      </c>
      <c r="L13" s="50" t="n">
        <v>59343</v>
      </c>
      <c r="M13" s="50" t="n">
        <v>0</v>
      </c>
      <c r="N13" s="51">
        <f>SUM(B13:M13)</f>
        <v/>
      </c>
    </row>
    <row r="14">
      <c r="A14" s="49" t="inlineStr">
        <is>
          <t>One-time setup (fit-out, deposits, licences, demo stock)</t>
        </is>
      </c>
      <c r="B14" s="50" t="n">
        <v>40667</v>
      </c>
      <c r="C14" s="50" t="n">
        <v>0</v>
      </c>
      <c r="D14" s="50" t="n">
        <v>0</v>
      </c>
      <c r="E14" s="50" t="n">
        <v>0</v>
      </c>
      <c r="F14" s="50" t="n">
        <v>0</v>
      </c>
      <c r="G14" s="50" t="n">
        <v>0</v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1">
        <f>SUM(B14:M14)</f>
        <v/>
      </c>
    </row>
    <row r="15">
      <c r="A15" s="49" t="inlineStr">
        <is>
          <t>Operating expenses (cash, incl. commissions &amp; interest)</t>
        </is>
      </c>
      <c r="B15" s="50" t="n">
        <v>53220</v>
      </c>
      <c r="C15" s="50" t="n">
        <v>53910</v>
      </c>
      <c r="D15" s="50" t="n">
        <v>69034</v>
      </c>
      <c r="E15" s="50" t="n">
        <v>64910</v>
      </c>
      <c r="F15" s="50" t="n">
        <v>65110</v>
      </c>
      <c r="G15" s="50" t="n">
        <v>66190</v>
      </c>
      <c r="H15" s="50" t="n">
        <v>65590</v>
      </c>
      <c r="I15" s="50" t="n">
        <v>68290</v>
      </c>
      <c r="J15" s="50" t="n">
        <v>69290</v>
      </c>
      <c r="K15" s="50" t="n">
        <v>70490</v>
      </c>
      <c r="L15" s="50" t="n">
        <v>72490</v>
      </c>
      <c r="M15" s="50" t="n">
        <v>74490</v>
      </c>
      <c r="N15" s="51">
        <f>SUM(B15:M15)</f>
        <v/>
      </c>
    </row>
    <row r="16">
      <c r="A16" s="52" t="inlineStr">
        <is>
          <t>TOTAL CASH OUTFLOWS</t>
        </is>
      </c>
      <c r="B16" s="51" t="n">
        <v>333692</v>
      </c>
      <c r="C16" s="51" t="n">
        <v>113253</v>
      </c>
      <c r="D16" s="51" t="n">
        <v>530036</v>
      </c>
      <c r="E16" s="51" t="n">
        <v>364058</v>
      </c>
      <c r="F16" s="51" t="n">
        <v>526112</v>
      </c>
      <c r="G16" s="51" t="n">
        <v>707654</v>
      </c>
      <c r="H16" s="51" t="n">
        <v>526592</v>
      </c>
      <c r="I16" s="51" t="n">
        <v>1052070</v>
      </c>
      <c r="J16" s="51" t="n">
        <v>530292</v>
      </c>
      <c r="K16" s="51" t="n">
        <v>976319</v>
      </c>
      <c r="L16" s="51" t="n">
        <v>234344</v>
      </c>
      <c r="M16" s="51" t="n">
        <v>279512</v>
      </c>
      <c r="N16" s="51">
        <f>SUM(B16:M16)</f>
        <v/>
      </c>
    </row>
    <row r="17">
      <c r="A17" s="55" t="inlineStr">
        <is>
          <t>NET MONTHLY CASH FLOW</t>
        </is>
      </c>
      <c r="B17" s="56" t="n">
        <v>666308</v>
      </c>
      <c r="C17" s="56" t="n">
        <v>-113253</v>
      </c>
      <c r="D17" s="56" t="n">
        <v>-432941</v>
      </c>
      <c r="E17" s="56" t="n">
        <v>568941</v>
      </c>
      <c r="F17" s="56" t="n">
        <v>-209529</v>
      </c>
      <c r="G17" s="56" t="n">
        <v>22812</v>
      </c>
      <c r="H17" s="56" t="n">
        <v>-180007</v>
      </c>
      <c r="I17" s="56" t="n">
        <v>72278</v>
      </c>
      <c r="J17" s="56" t="n">
        <v>-183707</v>
      </c>
      <c r="K17" s="56" t="n">
        <v>198033</v>
      </c>
      <c r="L17" s="56" t="n">
        <v>182246</v>
      </c>
      <c r="M17" s="56" t="n">
        <v>777904</v>
      </c>
      <c r="N17" s="51">
        <f>SUM(B17:M17)</f>
        <v/>
      </c>
    </row>
    <row r="18">
      <c r="A18" s="53" t="inlineStr">
        <is>
          <t>CUMULATIVE CASH POSITION</t>
        </is>
      </c>
      <c r="B18" s="54" t="n">
        <v>666308</v>
      </c>
      <c r="C18" s="54" t="n">
        <v>553055</v>
      </c>
      <c r="D18" s="54" t="n">
        <v>120114</v>
      </c>
      <c r="E18" s="54" t="n">
        <v>689055</v>
      </c>
      <c r="F18" s="54" t="n">
        <v>479526</v>
      </c>
      <c r="G18" s="54" t="n">
        <v>502338</v>
      </c>
      <c r="H18" s="54" t="n">
        <v>322331</v>
      </c>
      <c r="I18" s="54" t="n">
        <v>394609</v>
      </c>
      <c r="J18" s="54" t="n">
        <v>210902</v>
      </c>
      <c r="K18" s="54" t="n">
        <v>408935</v>
      </c>
      <c r="L18" s="54" t="n">
        <v>591181</v>
      </c>
      <c r="M18" s="54" t="n">
        <v>1369085</v>
      </c>
      <c r="N18" s="54" t="n">
        <v>1369085</v>
      </c>
    </row>
    <row r="20">
      <c r="A20" s="57" t="inlineStr">
        <is>
          <t>• Peak self-funded deficit (excluding investor capital): USD 1,289,098 — covered by the USD 1.5M raise.</t>
        </is>
      </c>
    </row>
    <row r="21">
      <c r="A21" s="57" t="inlineStr">
        <is>
          <t>• Minimum cash position with the raise: USD 120,114 (Oct-26, before Tranche 2).</t>
        </is>
      </c>
    </row>
    <row r="22">
      <c r="A22" s="57" t="inlineStr">
        <is>
          <t>• Year-1 ending cash: USD 1,369,085 — funds Year-2 growth before the Month-13 credit switch.</t>
        </is>
      </c>
    </row>
    <row r="23">
      <c r="A23" s="57" t="inlineStr">
        <is>
          <t>• Sudan advances (50% at order) arrive ~2 months before delivery and partially offset Vestwoods prepayments.</t>
        </is>
      </c>
    </row>
  </sheetData>
  <mergeCells count="6">
    <mergeCell ref="A22:N22"/>
    <mergeCell ref="A20:N20"/>
    <mergeCell ref="A21:N21"/>
    <mergeCell ref="A2:N2"/>
    <mergeCell ref="A23:N23"/>
    <mergeCell ref="A1: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Five-Year Cash Flow (USD)</t>
        </is>
      </c>
    </row>
    <row r="2">
      <c r="A2" s="2" t="inlineStr">
        <is>
          <t>Y1 from the monthly sheet (100% prepayment). Y2+ under credit terms: 10% at PO + 90% at 3-month credit (~22.5% of Vestwoods supplier purchases outstanding at year end)</t>
        </is>
      </c>
    </row>
    <row r="4">
      <c r="A4" s="12" t="inlineStr">
        <is>
          <t>ITEM</t>
        </is>
      </c>
      <c r="B4" s="13" t="inlineStr">
        <is>
          <t>Year 1</t>
        </is>
      </c>
      <c r="C4" s="13" t="inlineStr">
        <is>
          <t>Year 2</t>
        </is>
      </c>
      <c r="D4" s="13" t="inlineStr">
        <is>
          <t>Year 3</t>
        </is>
      </c>
      <c r="E4" s="13" t="inlineStr">
        <is>
          <t>Year 4</t>
        </is>
      </c>
      <c r="F4" s="13" t="inlineStr">
        <is>
          <t>Year 5</t>
        </is>
      </c>
    </row>
    <row r="5">
      <c r="A5" s="9" t="inlineStr">
        <is>
          <t>Customer collections</t>
        </is>
      </c>
      <c r="B5" s="59" t="n">
        <v>6043019</v>
      </c>
      <c r="C5" s="59" t="n">
        <v>9651237</v>
      </c>
      <c r="D5" s="59" t="n">
        <v>12437386</v>
      </c>
      <c r="E5" s="59" t="n">
        <v>15266265</v>
      </c>
      <c r="F5" s="59" t="n">
        <v>19284700</v>
      </c>
    </row>
    <row r="6">
      <c r="A6" s="9" t="inlineStr">
        <is>
          <t>Investor capital (T1 + T2)</t>
        </is>
      </c>
      <c r="B6" s="59" t="n">
        <v>1500000</v>
      </c>
      <c r="C6" s="59" t="n">
        <v>0</v>
      </c>
      <c r="D6" s="59" t="n">
        <v>0</v>
      </c>
      <c r="E6" s="59" t="n">
        <v>0</v>
      </c>
      <c r="F6" s="59" t="n">
        <v>0</v>
      </c>
    </row>
    <row r="7">
      <c r="A7" s="9" t="inlineStr">
        <is>
          <t>Supplier &amp; inventory payments (both divisions)</t>
        </is>
      </c>
      <c r="B7" s="59" t="n">
        <v>-5380920</v>
      </c>
      <c r="C7" s="59" t="n">
        <v>-6954058</v>
      </c>
      <c r="D7" s="59" t="n">
        <v>-10060054</v>
      </c>
      <c r="E7" s="59" t="n">
        <v>-12410665</v>
      </c>
      <c r="F7" s="59" t="n">
        <v>-15626356</v>
      </c>
    </row>
    <row r="8">
      <c r="A8" s="9" t="inlineStr">
        <is>
          <t>Operating expenses (cash)</t>
        </is>
      </c>
      <c r="B8" s="59" t="n">
        <v>-793014</v>
      </c>
      <c r="C8" s="59" t="n">
        <v>-977608</v>
      </c>
      <c r="D8" s="59" t="n">
        <v>-1239607</v>
      </c>
      <c r="E8" s="59" t="n">
        <v>-1558367</v>
      </c>
      <c r="F8" s="59" t="n">
        <v>-2058850</v>
      </c>
    </row>
    <row r="9">
      <c r="A9" s="9" t="inlineStr">
        <is>
          <t>Corporate tax paid (prior year, in arrears)</t>
        </is>
      </c>
      <c r="B9" s="59" t="n">
        <v>0</v>
      </c>
      <c r="C9" s="59" t="n">
        <v>-83803</v>
      </c>
      <c r="D9" s="59" t="n">
        <v>-151425</v>
      </c>
      <c r="E9" s="59" t="n">
        <v>-200086</v>
      </c>
      <c r="F9" s="59" t="n">
        <v>-235255</v>
      </c>
    </row>
    <row r="10">
      <c r="A10" s="9" t="inlineStr">
        <is>
          <t>Dividends paid (100% of prior-year net profit)</t>
        </is>
      </c>
      <c r="B10" s="59" t="n">
        <v>0</v>
      </c>
      <c r="C10" s="59" t="n">
        <v>-288656</v>
      </c>
      <c r="D10" s="59" t="n">
        <v>-521577</v>
      </c>
      <c r="E10" s="59" t="n">
        <v>-689185</v>
      </c>
      <c r="F10" s="59" t="n">
        <v>-810324</v>
      </c>
    </row>
    <row r="11">
      <c r="A11" s="9" t="inlineStr">
        <is>
          <t>Capex</t>
        </is>
      </c>
      <c r="B11" s="59" t="n">
        <v>0</v>
      </c>
      <c r="C11" s="59" t="n">
        <v>-25000</v>
      </c>
      <c r="D11" s="59" t="n">
        <v>-30000</v>
      </c>
      <c r="E11" s="59" t="n">
        <v>-35000</v>
      </c>
      <c r="F11" s="59" t="n">
        <v>-40000</v>
      </c>
    </row>
    <row r="12">
      <c r="A12" s="61" t="inlineStr">
        <is>
          <t>NET ANNUAL CASH FLOW</t>
        </is>
      </c>
      <c r="B12" s="60" t="n">
        <v>1369085</v>
      </c>
      <c r="C12" s="60" t="n">
        <v>1322112</v>
      </c>
      <c r="D12" s="60" t="n">
        <v>434723</v>
      </c>
      <c r="E12" s="60" t="n">
        <v>372962</v>
      </c>
      <c r="F12" s="60" t="n">
        <v>513915</v>
      </c>
    </row>
    <row r="13">
      <c r="A13" s="62" t="inlineStr">
        <is>
          <t>CLOSING CASH POSITION</t>
        </is>
      </c>
      <c r="B13" s="63" t="n">
        <v>1369085</v>
      </c>
      <c r="C13" s="63" t="n">
        <v>2691198</v>
      </c>
      <c r="D13" s="63" t="n">
        <v>3125920</v>
      </c>
      <c r="E13" s="63" t="n">
        <v>3498882</v>
      </c>
      <c r="F13" s="63" t="n">
        <v>4012797</v>
      </c>
    </row>
    <row r="15" ht="24" customHeight="1">
      <c r="A15" s="67" t="inlineStr">
        <is>
          <t>• STRENGTH — the Month-13 credit switch (10% down + 90% at 3-month credit) releases ~90% of Vestwoods container capital: Year-2 cash jumps despite full dividend payout.</t>
        </is>
      </c>
    </row>
    <row r="16" ht="24" customHeight="1">
      <c r="A16" s="67" t="inlineStr">
        <is>
          <t>• STRENGTH — Al Reem's fast-turning houseware generates cash from the first quarter and smooths the battery cycle.</t>
        </is>
      </c>
    </row>
    <row r="17" ht="24" customHeight="1">
      <c r="A17" s="67" t="inlineStr">
        <is>
          <t>• STRENGTH — closing cash rises every year while distributing 100% of profits and paying rising taxes; no capital call after Tranche 2.</t>
        </is>
      </c>
    </row>
    <row r="18" ht="24" customHeight="1">
      <c r="A18" s="67" t="inlineStr">
        <is>
          <t>• RISK — Year 1 depends on the raise closing on time: peak self-funded deficit USD 1,289,098 under 100% prepayment.</t>
        </is>
      </c>
    </row>
  </sheetData>
  <mergeCells count="6">
    <mergeCell ref="A2:F2"/>
    <mergeCell ref="A16:F16"/>
    <mergeCell ref="A1:F1"/>
    <mergeCell ref="A17:F17"/>
    <mergeCell ref="A18:F18"/>
    <mergeCell ref="A15:F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5" customWidth="1" min="3" max="3"/>
    <col width="9" customWidth="1" min="4" max="4"/>
    <col width="26" customWidth="1" min="5" max="5"/>
    <col width="44" customWidth="1" min="6" max="6"/>
  </cols>
  <sheetData>
    <row r="1">
      <c r="A1" s="1" t="inlineStr">
        <is>
          <t>Market Detail — Both Divisions</t>
        </is>
      </c>
    </row>
    <row r="2">
      <c r="A2" s="2" t="inlineStr">
        <is>
          <t>Container allocations, revenue, margins, terms and market actions per year</t>
        </is>
      </c>
    </row>
    <row r="4">
      <c r="A4" s="12" t="inlineStr">
        <is>
          <t>Market / Year</t>
        </is>
      </c>
      <c r="B4" s="13" t="inlineStr">
        <is>
          <t>Containers</t>
        </is>
      </c>
      <c r="C4" s="13" t="inlineStr">
        <is>
          <t>Revenue (USD)</t>
        </is>
      </c>
      <c r="D4" s="13" t="inlineStr">
        <is>
          <t>GM %</t>
        </is>
      </c>
      <c r="E4" s="13" t="inlineStr">
        <is>
          <t>Payment terms</t>
        </is>
      </c>
      <c r="F4" s="13" t="inlineStr">
        <is>
          <t>Key market action</t>
        </is>
      </c>
    </row>
    <row r="5">
      <c r="A5" s="58" t="inlineStr">
        <is>
          <t>VESTWOODS — EGYPT</t>
        </is>
      </c>
      <c r="B5" s="8" t="n"/>
      <c r="C5" s="8" t="n"/>
      <c r="D5" s="8" t="n"/>
      <c r="E5" s="8" t="n"/>
      <c r="F5" s="8" t="n"/>
    </row>
    <row r="6">
      <c r="A6" s="23" t="inlineStr">
        <is>
          <t>Year 1</t>
        </is>
      </c>
      <c r="B6" s="68" t="n">
        <v>6</v>
      </c>
      <c r="C6" s="24" t="n">
        <v>2599686</v>
      </c>
      <c r="D6" s="69" t="n">
        <v>0.21</v>
      </c>
      <c r="E6" s="70" t="inlineStr">
        <is>
          <t>Retail + 30–60 day dealer terms</t>
        </is>
      </c>
      <c r="F6" s="70" t="inlineStr">
        <is>
          <t>Two showrooms live; dealer network build; I LOCK wholesale anchor</t>
        </is>
      </c>
    </row>
    <row r="7">
      <c r="A7" s="23" t="inlineStr">
        <is>
          <t>Year 2</t>
        </is>
      </c>
      <c r="B7" s="68" t="n">
        <v>7</v>
      </c>
      <c r="C7" s="24" t="n">
        <v>3032967</v>
      </c>
      <c r="D7" s="69" t="n">
        <v>0.21</v>
      </c>
      <c r="E7" s="70" t="inlineStr">
        <is>
          <t>Retail + 30–60 day dealer terms</t>
        </is>
      </c>
      <c r="F7" s="70" t="inlineStr">
        <is>
          <t>Alexandria coverage via dealers; first C&amp;I quotes</t>
        </is>
      </c>
    </row>
    <row r="8">
      <c r="A8" s="23" t="inlineStr">
        <is>
          <t>Year 3</t>
        </is>
      </c>
      <c r="B8" s="68" t="n">
        <v>9</v>
      </c>
      <c r="C8" s="24" t="n">
        <v>3899529</v>
      </c>
      <c r="D8" s="69" t="n">
        <v>0.21</v>
      </c>
      <c r="E8" s="70" t="inlineStr">
        <is>
          <t>Retail + 30–60 day dealer terms</t>
        </is>
      </c>
      <c r="F8" s="70" t="inlineStr">
        <is>
          <t>Alexandria branch opens; telecom accounts</t>
        </is>
      </c>
    </row>
    <row r="9">
      <c r="A9" s="23" t="inlineStr">
        <is>
          <t>Year 4</t>
        </is>
      </c>
      <c r="B9" s="68" t="n">
        <v>11</v>
      </c>
      <c r="C9" s="24" t="n">
        <v>4766091</v>
      </c>
      <c r="D9" s="69" t="n">
        <v>0.21</v>
      </c>
      <c r="E9" s="70" t="inlineStr">
        <is>
          <t>Retail + 30–60 day dealer terms</t>
        </is>
      </c>
      <c r="F9" s="70" t="inlineStr">
        <is>
          <t>B2G/tenders desk; C&amp;I pipeline</t>
        </is>
      </c>
    </row>
    <row r="10">
      <c r="A10" s="23" t="inlineStr">
        <is>
          <t>Year 5</t>
        </is>
      </c>
      <c r="B10" s="68" t="n">
        <v>15</v>
      </c>
      <c r="C10" s="24" t="n">
        <v>6499215</v>
      </c>
      <c r="D10" s="69" t="n">
        <v>0.21</v>
      </c>
      <c r="E10" s="70" t="inlineStr">
        <is>
          <t>Retail + 30–60 day dealer terms</t>
        </is>
      </c>
      <c r="F10" s="70" t="inlineStr">
        <is>
          <t>40+ dealer network; CKD assembly evaluation</t>
        </is>
      </c>
    </row>
    <row r="11">
      <c r="A11" s="58" t="inlineStr">
        <is>
          <t>VESTWOODS — SUDAN</t>
        </is>
      </c>
      <c r="B11" s="8" t="n"/>
      <c r="C11" s="8" t="n"/>
      <c r="D11" s="8" t="n"/>
      <c r="E11" s="8" t="n"/>
      <c r="F11" s="8" t="n"/>
    </row>
    <row r="12">
      <c r="A12" s="23" t="inlineStr">
        <is>
          <t>Year 1</t>
        </is>
      </c>
      <c r="B12" s="68" t="n">
        <v>4</v>
      </c>
      <c r="C12" s="24" t="n">
        <v>1575528</v>
      </c>
      <c r="D12" s="69" t="n">
        <v>0.131</v>
      </c>
      <c r="E12" s="70" t="inlineStr">
        <is>
          <t>50% advance + 50% on delivery</t>
        </is>
      </c>
      <c r="F12" s="70" t="inlineStr">
        <is>
          <t>Committed buyer orders on arrival of first containers</t>
        </is>
      </c>
    </row>
    <row r="13">
      <c r="A13" s="23" t="inlineStr">
        <is>
          <t>Year 2</t>
        </is>
      </c>
      <c r="B13" s="68" t="n">
        <v>5</v>
      </c>
      <c r="C13" s="24" t="n">
        <v>1969410</v>
      </c>
      <c r="D13" s="69" t="n">
        <v>0.131</v>
      </c>
      <c r="E13" s="70" t="inlineStr">
        <is>
          <t>50% advance + 50% on delivery</t>
        </is>
      </c>
      <c r="F13" s="70" t="inlineStr">
        <is>
          <t>3 dealers; add Omdurman, El Obeid</t>
        </is>
      </c>
    </row>
    <row r="14">
      <c r="A14" s="23" t="inlineStr">
        <is>
          <t>Year 3</t>
        </is>
      </c>
      <c r="B14" s="68" t="n">
        <v>6</v>
      </c>
      <c r="C14" s="24" t="n">
        <v>2363292</v>
      </c>
      <c r="D14" s="69" t="n">
        <v>0.131</v>
      </c>
      <c r="E14" s="70" t="inlineStr">
        <is>
          <t>50% advance + 50% on delivery</t>
        </is>
      </c>
      <c r="F14" s="70" t="inlineStr">
        <is>
          <t>Telecom tower contracts</t>
        </is>
      </c>
    </row>
    <row r="15">
      <c r="A15" s="23" t="inlineStr">
        <is>
          <t>Year 4</t>
        </is>
      </c>
      <c r="B15" s="68" t="n">
        <v>8</v>
      </c>
      <c r="C15" s="24" t="n">
        <v>3151056</v>
      </c>
      <c r="D15" s="69" t="n">
        <v>0.131</v>
      </c>
      <c r="E15" s="70" t="inlineStr">
        <is>
          <t>50% advance + 50% on delivery</t>
        </is>
      </c>
      <c r="F15" s="70" t="inlineStr">
        <is>
          <t>C&amp;I projects; Khartoum tenders</t>
        </is>
      </c>
    </row>
    <row r="16">
      <c r="A16" s="23" t="inlineStr">
        <is>
          <t>Year 5</t>
        </is>
      </c>
      <c r="B16" s="68" t="n">
        <v>10</v>
      </c>
      <c r="C16" s="24" t="n">
        <v>3938820</v>
      </c>
      <c r="D16" s="69" t="n">
        <v>0.131</v>
      </c>
      <c r="E16" s="70" t="inlineStr">
        <is>
          <t>50% advance + 50% on delivery</t>
        </is>
      </c>
      <c r="F16" s="70" t="inlineStr">
        <is>
          <t>Standalone Sudan office consideration</t>
        </is>
      </c>
    </row>
    <row r="17">
      <c r="A17" s="58" t="inlineStr">
        <is>
          <t>VESTWOODS — ALGERIA</t>
        </is>
      </c>
      <c r="B17" s="8" t="n"/>
      <c r="C17" s="8" t="n"/>
      <c r="D17" s="8" t="n"/>
      <c r="E17" s="8" t="n"/>
      <c r="F17" s="8" t="n"/>
    </row>
    <row r="18">
      <c r="A18" s="23" t="inlineStr">
        <is>
          <t>Year 1</t>
        </is>
      </c>
      <c r="B18" s="68" t="n">
        <v>3</v>
      </c>
      <c r="C18" s="24" t="n">
        <v>1181646</v>
      </c>
      <c r="D18" s="69" t="n">
        <v>0.131</v>
      </c>
      <c r="E18" s="70" t="inlineStr">
        <is>
          <t>100% LC before shipment</t>
        </is>
      </c>
      <c r="F18" s="70" t="inlineStr">
        <is>
          <t>First LC orders under negotiated agency (FOB Jebel Ali)</t>
        </is>
      </c>
    </row>
    <row r="19">
      <c r="A19" s="23" t="inlineStr">
        <is>
          <t>Year 2</t>
        </is>
      </c>
      <c r="B19" s="68" t="n">
        <v>4</v>
      </c>
      <c r="C19" s="24" t="n">
        <v>1575528</v>
      </c>
      <c r="D19" s="69" t="n">
        <v>0.131</v>
      </c>
      <c r="E19" s="70" t="inlineStr">
        <is>
          <t>100% LC before shipment</t>
        </is>
      </c>
      <c r="F19" s="70" t="inlineStr">
        <is>
          <t>Agency formalised; dealer sub-network</t>
        </is>
      </c>
    </row>
    <row r="20">
      <c r="A20" s="23" t="inlineStr">
        <is>
          <t>Year 3</t>
        </is>
      </c>
      <c r="B20" s="68" t="n">
        <v>6</v>
      </c>
      <c r="C20" s="24" t="n">
        <v>2363292</v>
      </c>
      <c r="D20" s="69" t="n">
        <v>0.131</v>
      </c>
      <c r="E20" s="70" t="inlineStr">
        <is>
          <t>100% LC before shipment</t>
        </is>
      </c>
      <c r="F20" s="70" t="inlineStr">
        <is>
          <t>Solar programme alignment</t>
        </is>
      </c>
    </row>
    <row r="21">
      <c r="A21" s="23" t="inlineStr">
        <is>
          <t>Year 4</t>
        </is>
      </c>
      <c r="B21" s="68" t="n">
        <v>7</v>
      </c>
      <c r="C21" s="24" t="n">
        <v>2757174</v>
      </c>
      <c r="D21" s="69" t="n">
        <v>0.131</v>
      </c>
      <c r="E21" s="70" t="inlineStr">
        <is>
          <t>100% LC before shipment</t>
        </is>
      </c>
      <c r="F21" s="70" t="inlineStr">
        <is>
          <t>C&amp;I entries; coverage expansion</t>
        </is>
      </c>
    </row>
    <row r="22">
      <c r="A22" s="23" t="inlineStr">
        <is>
          <t>Year 5</t>
        </is>
      </c>
      <c r="B22" s="68" t="n">
        <v>8</v>
      </c>
      <c r="C22" s="24" t="n">
        <v>3151056</v>
      </c>
      <c r="D22" s="69" t="n">
        <v>0.131</v>
      </c>
      <c r="E22" s="70" t="inlineStr">
        <is>
          <t>100% LC before shipment</t>
        </is>
      </c>
      <c r="F22" s="70" t="inlineStr">
        <is>
          <t>Scale; assess in-country JV</t>
        </is>
      </c>
    </row>
    <row r="23">
      <c r="A23" s="58" t="inlineStr">
        <is>
          <t>VESTWOODS — LIBYA</t>
        </is>
      </c>
      <c r="B23" s="8" t="n"/>
      <c r="C23" s="8" t="n"/>
      <c r="D23" s="8" t="n"/>
      <c r="E23" s="8" t="n"/>
      <c r="F23" s="8" t="n"/>
    </row>
    <row r="24">
      <c r="A24" s="23" t="inlineStr">
        <is>
          <t>Year 1</t>
        </is>
      </c>
      <c r="B24" s="68" t="inlineStr">
        <is>
          <t>—</t>
        </is>
      </c>
      <c r="C24" s="24" t="n">
        <v>0</v>
      </c>
      <c r="D24" s="69" t="n">
        <v>0</v>
      </c>
      <c r="E24" s="70" t="inlineStr">
        <is>
          <t>Advance / confirmed LC</t>
        </is>
      </c>
      <c r="F24" s="70" t="inlineStr">
        <is>
          <t>—</t>
        </is>
      </c>
    </row>
    <row r="25">
      <c r="A25" s="23" t="inlineStr">
        <is>
          <t>Year 2</t>
        </is>
      </c>
      <c r="B25" s="68" t="n">
        <v>4</v>
      </c>
      <c r="C25" s="24" t="n">
        <v>1575528</v>
      </c>
      <c r="D25" s="69" t="n">
        <v>0.131</v>
      </c>
      <c r="E25" s="70" t="inlineStr">
        <is>
          <t>Advance / confirmed LC</t>
        </is>
      </c>
      <c r="F25" s="70" t="inlineStr">
        <is>
          <t>Sign Tripoli + Benghazi distributors</t>
        </is>
      </c>
    </row>
    <row r="26">
      <c r="A26" s="23" t="inlineStr">
        <is>
          <t>Year 3</t>
        </is>
      </c>
      <c r="B26" s="68" t="n">
        <v>5</v>
      </c>
      <c r="C26" s="24" t="n">
        <v>1969410</v>
      </c>
      <c r="D26" s="69" t="n">
        <v>0.131</v>
      </c>
      <c r="E26" s="70" t="inlineStr">
        <is>
          <t>Advance / confirmed LC</t>
        </is>
      </c>
      <c r="F26" s="70" t="inlineStr">
        <is>
          <t>Residential solar in outage districts</t>
        </is>
      </c>
    </row>
    <row r="27">
      <c r="A27" s="23" t="inlineStr">
        <is>
          <t>Year 4</t>
        </is>
      </c>
      <c r="B27" s="68" t="n">
        <v>6</v>
      </c>
      <c r="C27" s="24" t="n">
        <v>2363292</v>
      </c>
      <c r="D27" s="69" t="n">
        <v>0.131</v>
      </c>
      <c r="E27" s="70" t="inlineStr">
        <is>
          <t>Advance / confirmed LC</t>
        </is>
      </c>
      <c r="F27" s="70" t="inlineStr">
        <is>
          <t>C&amp;I backup; NGO/health supply</t>
        </is>
      </c>
    </row>
    <row r="28">
      <c r="A28" s="23" t="inlineStr">
        <is>
          <t>Year 5</t>
        </is>
      </c>
      <c r="B28" s="68" t="n">
        <v>8</v>
      </c>
      <c r="C28" s="24" t="n">
        <v>3151056</v>
      </c>
      <c r="D28" s="69" t="n">
        <v>0.131</v>
      </c>
      <c r="E28" s="70" t="inlineStr">
        <is>
          <t>Advance / confirmed LC</t>
        </is>
      </c>
      <c r="F28" s="70" t="inlineStr">
        <is>
          <t>Secondary-city coverage</t>
        </is>
      </c>
    </row>
    <row r="29">
      <c r="A29" s="58" t="inlineStr">
        <is>
          <t>AL REEM PLASTICS — EGYPT</t>
        </is>
      </c>
      <c r="B29" s="8" t="n"/>
      <c r="C29" s="8" t="n"/>
      <c r="D29" s="8" t="n"/>
      <c r="E29" s="8" t="n"/>
      <c r="F29" s="8" t="n"/>
    </row>
    <row r="30">
      <c r="A30" s="23" t="inlineStr">
        <is>
          <t>Year 1</t>
        </is>
      </c>
      <c r="B30" s="68" t="n">
        <v>10</v>
      </c>
      <c r="C30" s="24" t="n">
        <v>794772</v>
      </c>
      <c r="D30" s="69" t="n">
        <v>0.253</v>
      </c>
      <c r="E30" s="70" t="inlineStr">
        <is>
          <t>Retail + wholesale 30–45 days</t>
        </is>
      </c>
      <c r="F30" s="70" t="inlineStr">
        <is>
          <t>Launch through both showrooms + wholesale to retailers</t>
        </is>
      </c>
    </row>
    <row r="31">
      <c r="A31" s="23" t="inlineStr">
        <is>
          <t>Year 2</t>
        </is>
      </c>
      <c r="B31" s="68" t="n">
        <v>12</v>
      </c>
      <c r="C31" s="24" t="n">
        <v>953727</v>
      </c>
      <c r="D31" s="69" t="n">
        <v>0.253</v>
      </c>
      <c r="E31" s="70" t="inlineStr">
        <is>
          <t>Retail + wholesale 30–45 days</t>
        </is>
      </c>
      <c r="F31" s="70" t="inlineStr">
        <is>
          <t>Hypermarket listings (Carrefour-class)</t>
        </is>
      </c>
    </row>
    <row r="32">
      <c r="A32" s="23" t="inlineStr">
        <is>
          <t>Year 3</t>
        </is>
      </c>
      <c r="B32" s="68" t="n">
        <v>15</v>
      </c>
      <c r="C32" s="24" t="n">
        <v>1192158</v>
      </c>
      <c r="D32" s="69" t="n">
        <v>0.253</v>
      </c>
      <c r="E32" s="70" t="inlineStr">
        <is>
          <t>Retail + wholesale 30–45 days</t>
        </is>
      </c>
      <c r="F32" s="70" t="inlineStr">
        <is>
          <t>Online channel + Alexandria dealers</t>
        </is>
      </c>
    </row>
    <row r="33">
      <c r="A33" s="23" t="inlineStr">
        <is>
          <t>Year 4</t>
        </is>
      </c>
      <c r="B33" s="68" t="n">
        <v>18</v>
      </c>
      <c r="C33" s="24" t="n">
        <v>1430590</v>
      </c>
      <c r="D33" s="69" t="n">
        <v>0.253</v>
      </c>
      <c r="E33" s="70" t="inlineStr">
        <is>
          <t>Retail + wholesale 30–45 days</t>
        </is>
      </c>
      <c r="F33" s="70" t="inlineStr">
        <is>
          <t>Private-label conversations</t>
        </is>
      </c>
    </row>
    <row r="34">
      <c r="A34" s="23" t="inlineStr">
        <is>
          <t>Year 5</t>
        </is>
      </c>
      <c r="B34" s="68" t="n">
        <v>20</v>
      </c>
      <c r="C34" s="24" t="n">
        <v>1589545</v>
      </c>
      <c r="D34" s="69" t="n">
        <v>0.253</v>
      </c>
      <c r="E34" s="70" t="inlineStr">
        <is>
          <t>Retail + wholesale 30–45 days</t>
        </is>
      </c>
      <c r="F34" s="70" t="inlineStr">
        <is>
          <t>Nationwide wholesale coverage</t>
        </is>
      </c>
    </row>
    <row r="35">
      <c r="A35" s="58" t="inlineStr">
        <is>
          <t>AL REEM PLASTICS — SUDAN</t>
        </is>
      </c>
      <c r="B35" s="8" t="n"/>
      <c r="C35" s="8" t="n"/>
      <c r="D35" s="8" t="n"/>
      <c r="E35" s="8" t="n"/>
      <c r="F35" s="8" t="n"/>
    </row>
    <row r="36">
      <c r="A36" s="23" t="inlineStr">
        <is>
          <t>Year 1</t>
        </is>
      </c>
      <c r="B36" s="68" t="n">
        <v>5</v>
      </c>
      <c r="C36" s="24" t="n">
        <v>370894</v>
      </c>
      <c r="D36" s="69" t="n">
        <v>0.2</v>
      </c>
      <c r="E36" s="70" t="inlineStr">
        <is>
          <t>50% advance + 50% on delivery</t>
        </is>
      </c>
      <c r="F36" s="70" t="inlineStr">
        <is>
          <t>Same sub-distributor channel as Vestwoods</t>
        </is>
      </c>
    </row>
    <row r="37">
      <c r="A37" s="23" t="inlineStr">
        <is>
          <t>Year 2</t>
        </is>
      </c>
      <c r="B37" s="68" t="n">
        <v>8</v>
      </c>
      <c r="C37" s="24" t="n">
        <v>593430</v>
      </c>
      <c r="D37" s="69" t="n">
        <v>0.2</v>
      </c>
      <c r="E37" s="70" t="inlineStr">
        <is>
          <t>50% advance + 50% on delivery</t>
        </is>
      </c>
      <c r="F37" s="70" t="inlineStr">
        <is>
          <t>Khartoum + Port Sudan dealers</t>
        </is>
      </c>
    </row>
    <row r="38">
      <c r="A38" s="23" t="inlineStr">
        <is>
          <t>Year 3</t>
        </is>
      </c>
      <c r="B38" s="68" t="n">
        <v>10</v>
      </c>
      <c r="C38" s="24" t="n">
        <v>741788</v>
      </c>
      <c r="D38" s="69" t="n">
        <v>0.2</v>
      </c>
      <c r="E38" s="70" t="inlineStr">
        <is>
          <t>50% advance + 50% on delivery</t>
        </is>
      </c>
      <c r="F38" s="70" t="inlineStr">
        <is>
          <t>Range extension to 100+ SKUs</t>
        </is>
      </c>
    </row>
    <row r="39">
      <c r="A39" s="23" t="inlineStr">
        <is>
          <t>Year 4</t>
        </is>
      </c>
      <c r="B39" s="68" t="n">
        <v>12</v>
      </c>
      <c r="C39" s="24" t="n">
        <v>890145</v>
      </c>
      <c r="D39" s="69" t="n">
        <v>0.2</v>
      </c>
      <c r="E39" s="70" t="inlineStr">
        <is>
          <t>50% advance + 50% on delivery</t>
        </is>
      </c>
      <c r="F39" s="70" t="inlineStr">
        <is>
          <t>Second distributor</t>
        </is>
      </c>
    </row>
    <row r="40">
      <c r="A40" s="23" t="inlineStr">
        <is>
          <t>Year 5</t>
        </is>
      </c>
      <c r="B40" s="68" t="n">
        <v>15</v>
      </c>
      <c r="C40" s="24" t="n">
        <v>1112681</v>
      </c>
      <c r="D40" s="69" t="n">
        <v>0.2</v>
      </c>
      <c r="E40" s="70" t="inlineStr">
        <is>
          <t>50% advance + 50% on delivery</t>
        </is>
      </c>
      <c r="F40" s="70" t="inlineStr">
        <is>
          <t>Scale with market recovery</t>
        </is>
      </c>
    </row>
    <row r="41">
      <c r="A41" s="57" t="inlineStr">
        <is>
          <t>Sudan cash terms mean revenue is collected before or at shipment; Algeria LC-before-shipment carries zero receivable risk.</t>
        </is>
      </c>
    </row>
  </sheetData>
  <mergeCells count="3">
    <mergeCell ref="A41:F41"/>
    <mergeCell ref="A2:F2"/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Funding Structure &amp; Investor Returns</t>
        </is>
      </c>
    </row>
    <row r="2">
      <c r="A2" s="2" t="inlineStr">
        <is>
          <t>USD 1,500,000 for 50% of NORCO Egypt | band USD 1.0M – 1.5M | dividends 100% payout in arrears | terminal at 5× Year-5 net profit</t>
        </is>
      </c>
    </row>
    <row r="4">
      <c r="A4" s="22" t="inlineStr">
        <is>
          <t>A.  TRANCHE STRUCTURE</t>
        </is>
      </c>
    </row>
    <row r="5">
      <c r="A5" s="12" t="inlineStr">
        <is>
          <t>Tranche</t>
        </is>
      </c>
      <c r="B5" s="13" t="inlineStr">
        <is>
          <t>Amount (USD)</t>
        </is>
      </c>
      <c r="C5" s="13" t="inlineStr">
        <is>
          <t>Timing</t>
        </is>
      </c>
      <c r="D5" s="13" t="inlineStr">
        <is>
          <t>Gate / purpose</t>
        </is>
      </c>
      <c r="E5" s="13" t="inlineStr"/>
      <c r="F5" s="13" t="inlineStr"/>
      <c r="G5" s="13" t="inlineStr"/>
    </row>
    <row r="6" ht="24" customHeight="1">
      <c r="A6" s="23" t="inlineStr">
        <is>
          <t>Tranche 1 — Launch</t>
        </is>
      </c>
      <c r="B6" s="24" t="n">
        <v>1000000</v>
      </c>
      <c r="C6" s="49" t="inlineStr">
        <is>
          <t>Month 1 (Aug-26, at close)</t>
        </is>
      </c>
      <c r="D6" s="49" t="inlineStr">
        <is>
          <t>Vestwoods prepaid container waves + first Al Reem containers, setup, opex runway</t>
        </is>
      </c>
    </row>
    <row r="7" ht="24" customHeight="1">
      <c r="A7" s="23" t="inlineStr">
        <is>
          <t>Tranche 2 — Scale</t>
        </is>
      </c>
      <c r="B7" s="24" t="n">
        <v>500000</v>
      </c>
      <c r="C7" s="49" t="inlineStr">
        <is>
          <t>Month 4 (Nov-26), milestone-gated</t>
        </is>
      </c>
      <c r="D7" s="49" t="inlineStr">
        <is>
          <t>Released on ≥3 containers sold through + Sudan advances received; funds waves 4-6</t>
        </is>
      </c>
    </row>
    <row r="8">
      <c r="A8" s="25" t="inlineStr">
        <is>
          <t>Total</t>
        </is>
      </c>
      <c r="B8" s="27">
        <f>SUM(B6:B7)</f>
        <v/>
      </c>
      <c r="C8" s="19" t="n"/>
      <c r="D8" s="19" t="n"/>
      <c r="E8" s="19" t="n"/>
      <c r="F8" s="19" t="n"/>
      <c r="G8" s="19" t="n"/>
    </row>
    <row r="10">
      <c r="A10" s="22" t="inlineStr">
        <is>
          <t>B.  SIZING</t>
        </is>
      </c>
    </row>
    <row r="11" ht="24" customHeight="1">
      <c r="A11" s="71" t="inlineStr">
        <is>
          <t>USD 1,000,000 (minimum)</t>
        </is>
      </c>
      <c r="B11" s="49" t="inlineStr">
        <is>
          <t>Container plan slows: Vestwoods waves stretched, Al Reem held at 6-7 containers Y1; break-even delayed ~2 months</t>
        </is>
      </c>
    </row>
    <row r="12" ht="24" customHeight="1">
      <c r="A12" s="71" t="inlineStr">
        <is>
          <t>USD 1,500,000 (recommended)</t>
        </is>
      </c>
      <c r="B12" s="49" t="inlineStr">
        <is>
          <t>Full two-division plan as modelled; covers the USD 1,289,098 peak with buffer</t>
        </is>
      </c>
    </row>
    <row r="14">
      <c r="A14" s="22" t="inlineStr">
        <is>
          <t>C.  INVESTOR CASH FLOW — 50% equity of NORCO Egypt</t>
        </is>
      </c>
    </row>
    <row r="15">
      <c r="A15" s="12" t="inlineStr">
        <is>
          <t>Flow (USD)</t>
        </is>
      </c>
      <c r="B15" s="13" t="inlineStr">
        <is>
          <t>Y0 (close)</t>
        </is>
      </c>
      <c r="C15" s="13" t="inlineStr">
        <is>
          <t>Year 1</t>
        </is>
      </c>
      <c r="D15" s="13" t="inlineStr">
        <is>
          <t>Year 2</t>
        </is>
      </c>
      <c r="E15" s="13" t="inlineStr">
        <is>
          <t>Year 3</t>
        </is>
      </c>
      <c r="F15" s="13" t="inlineStr">
        <is>
          <t>Year 4</t>
        </is>
      </c>
      <c r="G15" s="13" t="inlineStr">
        <is>
          <t>Year 5</t>
        </is>
      </c>
    </row>
    <row r="16">
      <c r="A16" s="49" t="inlineStr">
        <is>
          <t>Capital invested</t>
        </is>
      </c>
      <c r="B16" s="50" t="n">
        <v>-1500000</v>
      </c>
      <c r="C16" s="50" t="n">
        <v>0</v>
      </c>
      <c r="D16" s="50" t="n">
        <v>0</v>
      </c>
      <c r="E16" s="50" t="n">
        <v>0</v>
      </c>
      <c r="F16" s="50" t="n">
        <v>0</v>
      </c>
      <c r="G16" s="50" t="n">
        <v>0</v>
      </c>
    </row>
    <row r="17">
      <c r="A17" s="49" t="inlineStr">
        <is>
          <t>Dividends (50% of prior-year net profit)</t>
        </is>
      </c>
      <c r="B17" s="50" t="n">
        <v>0</v>
      </c>
      <c r="C17" s="50" t="n">
        <v>0</v>
      </c>
      <c r="D17" s="50" t="n">
        <v>144328</v>
      </c>
      <c r="E17" s="50" t="n">
        <v>260788</v>
      </c>
      <c r="F17" s="50" t="n">
        <v>344592</v>
      </c>
      <c r="G17" s="50" t="n">
        <v>405162</v>
      </c>
    </row>
    <row r="18">
      <c r="A18" s="49" t="inlineStr">
        <is>
          <t>Terminal value (50% × 5 × Y5 net profit)</t>
        </is>
      </c>
      <c r="B18" s="50" t="n">
        <v>0</v>
      </c>
      <c r="C18" s="50" t="n">
        <v>0</v>
      </c>
      <c r="D18" s="50" t="n">
        <v>0</v>
      </c>
      <c r="E18" s="50" t="n">
        <v>0</v>
      </c>
      <c r="F18" s="50" t="n">
        <v>0</v>
      </c>
      <c r="G18" s="50" t="n">
        <v>2405528</v>
      </c>
    </row>
    <row r="19">
      <c r="A19" s="25" t="inlineStr">
        <is>
          <t>Net investor cash flow</t>
        </is>
      </c>
      <c r="B19" s="60">
        <f>SUM(B16:B18)</f>
        <v/>
      </c>
      <c r="C19" s="60">
        <f>SUM(C16:C18)</f>
        <v/>
      </c>
      <c r="D19" s="60">
        <f>SUM(D16:D18)</f>
        <v/>
      </c>
      <c r="E19" s="60">
        <f>SUM(E16:E18)</f>
        <v/>
      </c>
      <c r="F19" s="60">
        <f>SUM(F16:F18)</f>
        <v/>
      </c>
      <c r="G19" s="60">
        <f>SUM(G16:G18)</f>
        <v/>
      </c>
    </row>
    <row r="20">
      <c r="A20" s="72" t="inlineStr">
        <is>
          <t>Investor IRR</t>
        </is>
      </c>
      <c r="B20" s="73">
        <f>IRR(B19:G19)</f>
        <v/>
      </c>
      <c r="D20" s="72" t="inlineStr">
        <is>
          <t>MOIC</t>
        </is>
      </c>
      <c r="E20" s="74">
        <f>SUM(C19:G19)/-B19</f>
        <v/>
      </c>
    </row>
    <row r="22">
      <c r="A22" s="22" t="inlineStr">
        <is>
          <t>D.  INVESTOR PROTECTIONS</t>
        </is>
      </c>
    </row>
    <row r="23" ht="22" customHeight="1">
      <c r="A23" s="75" t="inlineStr">
        <is>
          <t>• Tranche 2 released only against verified Month-4 milestones (≥3 containers sold through + Sudan advances received).</t>
        </is>
      </c>
    </row>
    <row r="24" ht="22" customHeight="1">
      <c r="A24" s="75" t="inlineStr">
        <is>
          <t>• Quarterly management accounts; monthly cash &amp; inventory reporting across both divisions; USD-denominated books.</t>
        </is>
      </c>
    </row>
    <row r="25" ht="22" customHeight="1">
      <c r="A25" s="75" t="inlineStr">
        <is>
          <t>• Egypt customers on max 60-day terms; Sudan cash-before-shipment; Algeria LC only; Libya advance/LC.</t>
        </is>
      </c>
    </row>
    <row r="26" ht="22" customHeight="1">
      <c r="A26" s="75" t="inlineStr">
        <is>
          <t>• Exclusive Vestwoods agency and the Al Reem (Angola) affiliated supply agreement held within the group; assignable as security.</t>
        </is>
      </c>
    </row>
    <row r="27" ht="22" customHeight="1">
      <c r="A27" s="75" t="inlineStr">
        <is>
          <t>• Founder pre-investment of USD 14,517 already deployed — operating showroom, licences and import permits complete.</t>
        </is>
      </c>
    </row>
  </sheetData>
  <mergeCells count="11">
    <mergeCell ref="A1:G1"/>
    <mergeCell ref="A27:G27"/>
    <mergeCell ref="D6:G6"/>
    <mergeCell ref="D7:G7"/>
    <mergeCell ref="A24:G24"/>
    <mergeCell ref="A2:G2"/>
    <mergeCell ref="A26:G26"/>
    <mergeCell ref="B12:G12"/>
    <mergeCell ref="A25:G25"/>
    <mergeCell ref="B11:G11"/>
    <mergeCell ref="A23:G2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64" customWidth="1" min="3" max="3"/>
  </cols>
  <sheetData>
    <row r="1">
      <c r="A1" s="1" t="inlineStr">
        <is>
          <t>Shareholding — NORCO Egypt (the investment vehicle)</t>
        </is>
      </c>
    </row>
    <row r="2">
      <c r="A2" s="2" t="inlineStr">
        <is>
          <t>Investor subscribes into the Egypt operating company; NORCO UAE anchors supply relationships as a 20% shareholder</t>
        </is>
      </c>
    </row>
    <row r="4">
      <c r="A4" s="12" t="inlineStr">
        <is>
          <t>Shareholder</t>
        </is>
      </c>
      <c r="B4" s="13" t="inlineStr">
        <is>
          <t>NORCO Egypt %</t>
        </is>
      </c>
      <c r="C4" s="13" t="inlineStr">
        <is>
          <t>Notes</t>
        </is>
      </c>
    </row>
    <row r="5" ht="24" customHeight="1">
      <c r="A5" s="9" t="inlineStr">
        <is>
          <t>Investor (USD 1.5M capital)</t>
        </is>
      </c>
      <c r="B5" s="76" t="n">
        <v>0.5</v>
      </c>
      <c r="C5" s="11" t="inlineStr">
        <is>
          <t>Cash for 50% of NORCO Egypt; board seat; reserved matters</t>
        </is>
      </c>
    </row>
    <row r="6" ht="24" customHeight="1">
      <c r="A6" s="9" t="inlineStr">
        <is>
          <t>NORCO General Trading L.L.C. (UAE)</t>
        </is>
      </c>
      <c r="B6" s="76" t="n">
        <v>0.2</v>
      </c>
      <c r="C6" s="11" t="inlineStr">
        <is>
          <t>Holds the Vestwoods exclusive agency &amp; Al Reem (Angola) supply relationship</t>
        </is>
      </c>
    </row>
    <row r="7" ht="24" customHeight="1">
      <c r="A7" s="9" t="inlineStr">
        <is>
          <t>Mohammed Fadi Jannan — Chairman &amp; Founder</t>
        </is>
      </c>
      <c r="B7" s="76" t="n">
        <v>0.2</v>
      </c>
      <c r="C7" s="11" t="inlineStr">
        <is>
          <t>Executive lead; combined founder-side interest 40% (20% direct + 20% via NORCO UAE)</t>
        </is>
      </c>
    </row>
    <row r="8" ht="24" customHeight="1">
      <c r="A8" s="9" t="inlineStr">
        <is>
          <t>Partner A</t>
        </is>
      </c>
      <c r="B8" s="76" t="n">
        <v>0.05</v>
      </c>
      <c r="C8" s="11" t="inlineStr">
        <is>
          <t>Existing partner</t>
        </is>
      </c>
    </row>
    <row r="9" ht="24" customHeight="1">
      <c r="A9" s="9" t="inlineStr">
        <is>
          <t>Partner B</t>
        </is>
      </c>
      <c r="B9" s="76" t="n">
        <v>0.05</v>
      </c>
      <c r="C9" s="11" t="inlineStr">
        <is>
          <t>Existing partner</t>
        </is>
      </c>
    </row>
    <row r="10">
      <c r="A10" s="18" t="inlineStr">
        <is>
          <t>TOTAL</t>
        </is>
      </c>
      <c r="B10" s="77">
        <f>SUM(B5:B9)</f>
        <v/>
      </c>
      <c r="C10" s="19" t="n"/>
    </row>
    <row r="12" ht="26" customHeight="1">
      <c r="A12" s="75" t="inlineStr">
        <is>
          <t>• Founder-side combined interest = 40%: 20% held directly by the Chairman + 20% held via NORCO General Trading L.L.C. (UAE), which he controls (80%).</t>
        </is>
      </c>
    </row>
    <row r="13" ht="26" customHeight="1">
      <c r="A13" s="75" t="inlineStr">
        <is>
          <t>• NORCO UAE contributes the exclusive Vestwoods agency and the Al Reem (Angola) supply relationship to the Egypt company under long-term agreements.</t>
        </is>
      </c>
    </row>
    <row r="14" ht="26" customHeight="1">
      <c r="A14" s="75" t="inlineStr">
        <is>
          <t>• Dividend policy: 100% of net profit distributed annually in arrears — investor receives 50% of every distribution.</t>
        </is>
      </c>
    </row>
  </sheetData>
  <mergeCells count="5">
    <mergeCell ref="A13:C13"/>
    <mergeCell ref="A1:C1"/>
    <mergeCell ref="A14:C14"/>
    <mergeCell ref="A12:C12"/>
    <mergeCell ref="A2:C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Investor Dashboard</t>
        </is>
      </c>
    </row>
    <row r="2">
      <c r="A2" s="2" t="inlineStr">
        <is>
          <t>Headline metrics — NORCO Egypt, both divisions</t>
        </is>
      </c>
    </row>
    <row r="4">
      <c r="A4" s="78" t="inlineStr">
        <is>
          <t>Total 5-year revenue (USD)</t>
        </is>
      </c>
      <c r="B4" s="79" t="n">
        <v>63553306</v>
      </c>
    </row>
    <row r="5">
      <c r="A5" s="78" t="inlineStr">
        <is>
          <t>Total 5-year gross profit (USD)</t>
        </is>
      </c>
      <c r="B5" s="79" t="n">
        <v>10949719</v>
      </c>
    </row>
    <row r="6">
      <c r="A6" s="78" t="inlineStr">
        <is>
          <t>Total 5-year net profit (USD)</t>
        </is>
      </c>
      <c r="B6" s="79" t="n">
        <v>3271953</v>
      </c>
    </row>
    <row r="7">
      <c r="A7" s="78" t="inlineStr">
        <is>
          <t>Year 1 revenue (USD)</t>
        </is>
      </c>
      <c r="B7" s="79" t="n">
        <v>6522526</v>
      </c>
    </row>
    <row r="8">
      <c r="A8" s="78" t="inlineStr">
        <is>
          <t>Year 1 net profit (USD)</t>
        </is>
      </c>
      <c r="B8" s="79" t="n">
        <v>288656</v>
      </c>
    </row>
    <row r="9">
      <c r="A9" s="78" t="inlineStr">
        <is>
          <t>Year 5 net profit (USD)</t>
        </is>
      </c>
      <c r="B9" s="79" t="n">
        <v>962211</v>
      </c>
    </row>
    <row r="10">
      <c r="A10" s="78" t="inlineStr">
        <is>
          <t>Operating break-even</t>
        </is>
      </c>
      <c r="B10" s="80" t="inlineStr">
        <is>
          <t>Month 4 (Nov-26)</t>
        </is>
      </c>
    </row>
    <row r="11">
      <c r="A11" s="78" t="inlineStr">
        <is>
          <t>Cumulative break-even</t>
        </is>
      </c>
      <c r="B11" s="80" t="inlineStr">
        <is>
          <t>Month 8 (Mar-27)</t>
        </is>
      </c>
    </row>
    <row r="12">
      <c r="A12" s="78" t="inlineStr">
        <is>
          <t>Peak self-funded cash deficit (USD)</t>
        </is>
      </c>
      <c r="B12" s="79" t="n">
        <v>1289098</v>
      </c>
    </row>
    <row r="13">
      <c r="A13" s="78" t="inlineStr">
        <is>
          <t>Year-1 ending cash with raise (USD)</t>
        </is>
      </c>
      <c r="B13" s="79" t="n">
        <v>1369085</v>
      </c>
    </row>
    <row r="14">
      <c r="A14" s="78" t="inlineStr">
        <is>
          <t>Year-5 closing cash (USD)</t>
        </is>
      </c>
      <c r="B14" s="79" t="n">
        <v>4012797</v>
      </c>
    </row>
    <row r="15">
      <c r="A15" s="78" t="inlineStr">
        <is>
          <t>Investment (USD, for 50% of NORCO Egypt)</t>
        </is>
      </c>
      <c r="B15" s="79" t="n">
        <v>1500000</v>
      </c>
    </row>
    <row r="16">
      <c r="A16" s="78" t="inlineStr">
        <is>
          <t>Investor IRR (dividends + terminal)</t>
        </is>
      </c>
      <c r="B16" s="81" t="n">
        <v>0.2082344948210775</v>
      </c>
    </row>
    <row r="17">
      <c r="A17" s="78" t="inlineStr">
        <is>
          <t>Investor MOIC</t>
        </is>
      </c>
      <c r="B17" s="82" t="n">
        <v>2.373598666666667</v>
      </c>
    </row>
    <row r="18">
      <c r="A18" s="78" t="inlineStr">
        <is>
          <t>Founder pre-operational investment (USD)</t>
        </is>
      </c>
      <c r="B18" s="79" t="n">
        <v>14517</v>
      </c>
    </row>
    <row r="20">
      <c r="A20" s="83" t="inlineStr">
        <is>
          <t>Chart data (USD)</t>
        </is>
      </c>
    </row>
    <row r="21">
      <c r="A21" s="84" t="inlineStr">
        <is>
          <t>Year</t>
        </is>
      </c>
      <c r="B21" s="85" t="inlineStr">
        <is>
          <t>Y1</t>
        </is>
      </c>
      <c r="C21" s="85" t="inlineStr">
        <is>
          <t>Y2</t>
        </is>
      </c>
      <c r="D21" s="85" t="inlineStr">
        <is>
          <t>Y3</t>
        </is>
      </c>
      <c r="E21" s="85" t="inlineStr">
        <is>
          <t>Y4</t>
        </is>
      </c>
      <c r="F21" s="85" t="inlineStr">
        <is>
          <t>Y5</t>
        </is>
      </c>
    </row>
    <row r="22">
      <c r="A22" s="86" t="inlineStr">
        <is>
          <t>Vestwoods revenue</t>
        </is>
      </c>
      <c r="B22" s="87" t="n">
        <v>5356860</v>
      </c>
      <c r="C22" s="87" t="n">
        <v>8153433</v>
      </c>
      <c r="D22" s="87" t="n">
        <v>10595523</v>
      </c>
      <c r="E22" s="87" t="n">
        <v>13037613</v>
      </c>
      <c r="F22" s="87" t="n">
        <v>16740147</v>
      </c>
    </row>
    <row r="23">
      <c r="A23" s="86" t="inlineStr">
        <is>
          <t>Al Reem revenue</t>
        </is>
      </c>
      <c r="B23" s="87" t="n">
        <v>1165666</v>
      </c>
      <c r="C23" s="87" t="n">
        <v>1547157</v>
      </c>
      <c r="D23" s="87" t="n">
        <v>1933946</v>
      </c>
      <c r="E23" s="87" t="n">
        <v>2320735</v>
      </c>
      <c r="F23" s="87" t="n">
        <v>2702226</v>
      </c>
    </row>
    <row r="24">
      <c r="A24" s="86" t="inlineStr">
        <is>
          <t>Net profit</t>
        </is>
      </c>
      <c r="B24" s="87" t="n">
        <v>288656</v>
      </c>
      <c r="C24" s="87" t="n">
        <v>521577</v>
      </c>
      <c r="D24" s="87" t="n">
        <v>689185</v>
      </c>
      <c r="E24" s="87" t="n">
        <v>810324</v>
      </c>
      <c r="F24" s="87" t="n">
        <v>962211</v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2026-07-15T17:01:47Z</dcterms:created>
  <dcterms:modified xmlns:dcterms="http://purl.org/dc/terms/" xmlns:xsi="http://www.w3.org/2001/XMLSchema-instance" xsi:type="dcterms:W3CDTF">2026-07-15T17:01:47Z</dcterms:modified>
</cp:coreProperties>
</file>